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omments13.xml" ContentType="application/vnd.openxmlformats-officedocument.spreadsheetml.comments+xml"/>
  <Override PartName="/xl/threadedComments/threadedComment13.xml" ContentType="application/vnd.ms-excel.threadedcomments+xml"/>
  <Override PartName="/xl/comments14.xml" ContentType="application/vnd.openxmlformats-officedocument.spreadsheetml.comments+xml"/>
  <Override PartName="/xl/threadedComments/threadedComment14.xml" ContentType="application/vnd.ms-excel.threadedcomments+xml"/>
  <Override PartName="/xl/comments15.xml" ContentType="application/vnd.openxmlformats-officedocument.spreadsheetml.comments+xml"/>
  <Override PartName="/xl/threadedComments/threadedComment15.xml" ContentType="application/vnd.ms-excel.threadedcomments+xml"/>
  <Override PartName="/xl/comments16.xml" ContentType="application/vnd.openxmlformats-officedocument.spreadsheetml.comments+xml"/>
  <Override PartName="/xl/threadedComments/threadedComment16.xml" ContentType="application/vnd.ms-excel.threadedcomments+xml"/>
  <Override PartName="/xl/comments17.xml" ContentType="application/vnd.openxmlformats-officedocument.spreadsheetml.comments+xml"/>
  <Override PartName="/xl/threadedComments/threadedComment17.xml" ContentType="application/vnd.ms-excel.threadedcomments+xml"/>
  <Override PartName="/xl/comments18.xml" ContentType="application/vnd.openxmlformats-officedocument.spreadsheetml.comments+xml"/>
  <Override PartName="/xl/threadedComments/threadedComment18.xml" ContentType="application/vnd.ms-excel.threadedcomments+xml"/>
  <Override PartName="/xl/comments19.xml" ContentType="application/vnd.openxmlformats-officedocument.spreadsheetml.comments+xml"/>
  <Override PartName="/xl/threadedComments/threadedComment19.xml" ContentType="application/vnd.ms-excel.threadedcomments+xml"/>
  <Override PartName="/xl/comments20.xml" ContentType="application/vnd.openxmlformats-officedocument.spreadsheetml.comments+xml"/>
  <Override PartName="/xl/threadedComments/threadedComment20.xml" ContentType="application/vnd.ms-excel.threadedcomments+xml"/>
  <Override PartName="/xl/comments21.xml" ContentType="application/vnd.openxmlformats-officedocument.spreadsheetml.comments+xml"/>
  <Override PartName="/xl/threadedComments/threadedComment21.xml" ContentType="application/vnd.ms-excel.threadedcomments+xml"/>
  <Override PartName="/xl/comments22.xml" ContentType="application/vnd.openxmlformats-officedocument.spreadsheetml.comments+xml"/>
  <Override PartName="/xl/threadedComments/threadedComment22.xml" ContentType="application/vnd.ms-excel.threadedcomments+xml"/>
  <Override PartName="/xl/comments23.xml" ContentType="application/vnd.openxmlformats-officedocument.spreadsheetml.comments+xml"/>
  <Override PartName="/xl/threadedComments/threadedComment23.xml" ContentType="application/vnd.ms-excel.threadedcomments+xml"/>
  <Override PartName="/xl/comments24.xml" ContentType="application/vnd.openxmlformats-officedocument.spreadsheetml.comments+xml"/>
  <Override PartName="/xl/threadedComments/threadedComment24.xml" ContentType="application/vnd.ms-excel.threadedcomments+xml"/>
  <Override PartName="/xl/comments25.xml" ContentType="application/vnd.openxmlformats-officedocument.spreadsheetml.comments+xml"/>
  <Override PartName="/xl/threadedComments/threadedComment25.xml" ContentType="application/vnd.ms-excel.threadedcomments+xml"/>
  <Override PartName="/xl/comments26.xml" ContentType="application/vnd.openxmlformats-officedocument.spreadsheetml.comments+xml"/>
  <Override PartName="/xl/threadedComments/threadedComment26.xml" ContentType="application/vnd.ms-excel.threadedcomments+xml"/>
  <Override PartName="/xl/comments27.xml" ContentType="application/vnd.openxmlformats-officedocument.spreadsheetml.comments+xml"/>
  <Override PartName="/xl/threadedComments/threadedComment27.xml" ContentType="application/vnd.ms-excel.threadedcomments+xml"/>
  <Override PartName="/xl/comments28.xml" ContentType="application/vnd.openxmlformats-officedocument.spreadsheetml.comments+xml"/>
  <Override PartName="/xl/threadedComments/threadedComment28.xml" ContentType="application/vnd.ms-excel.threadedcomments+xml"/>
  <Override PartName="/xl/comments29.xml" ContentType="application/vnd.openxmlformats-officedocument.spreadsheetml.comments+xml"/>
  <Override PartName="/xl/threadedComments/threadedComment29.xml" ContentType="application/vnd.ms-excel.threadedcomments+xml"/>
  <Override PartName="/xl/comments30.xml" ContentType="application/vnd.openxmlformats-officedocument.spreadsheetml.comments+xml"/>
  <Override PartName="/xl/threadedComments/threadedComment30.xml" ContentType="application/vnd.ms-excel.threadedcomments+xml"/>
  <Override PartName="/xl/comments31.xml" ContentType="application/vnd.openxmlformats-officedocument.spreadsheetml.comments+xml"/>
  <Override PartName="/xl/threadedComments/threadedComment31.xml" ContentType="application/vnd.ms-excel.threadedcomments+xml"/>
  <Override PartName="/xl/comments32.xml" ContentType="application/vnd.openxmlformats-officedocument.spreadsheetml.comments+xml"/>
  <Override PartName="/xl/threadedComments/threadedComment32.xml" ContentType="application/vnd.ms-excel.threadedcomments+xml"/>
  <Override PartName="/xl/comments33.xml" ContentType="application/vnd.openxmlformats-officedocument.spreadsheetml.comments+xml"/>
  <Override PartName="/xl/threadedComments/threadedComment33.xml" ContentType="application/vnd.ms-excel.threadedcomments+xml"/>
  <Override PartName="/xl/comments34.xml" ContentType="application/vnd.openxmlformats-officedocument.spreadsheetml.comments+xml"/>
  <Override PartName="/xl/threadedComments/threadedComment34.xml" ContentType="application/vnd.ms-excel.threadedcomments+xml"/>
  <Override PartName="/xl/comments35.xml" ContentType="application/vnd.openxmlformats-officedocument.spreadsheetml.comments+xml"/>
  <Override PartName="/xl/threadedComments/threadedComment35.xml" ContentType="application/vnd.ms-excel.threadedcomments+xml"/>
  <Override PartName="/xl/comments36.xml" ContentType="application/vnd.openxmlformats-officedocument.spreadsheetml.comments+xml"/>
  <Override PartName="/xl/threadedComments/threadedComment36.xml" ContentType="application/vnd.ms-excel.threadedcomments+xml"/>
  <Override PartName="/xl/comments37.xml" ContentType="application/vnd.openxmlformats-officedocument.spreadsheetml.comments+xml"/>
  <Override PartName="/xl/threadedComments/threadedComment37.xml" ContentType="application/vnd.ms-excel.threadedcomments+xml"/>
  <Override PartName="/xl/comments38.xml" ContentType="application/vnd.openxmlformats-officedocument.spreadsheetml.comments+xml"/>
  <Override PartName="/xl/threadedComments/threadedComment38.xml" ContentType="application/vnd.ms-excel.threadedcomments+xml"/>
  <Override PartName="/xl/comments39.xml" ContentType="application/vnd.openxmlformats-officedocument.spreadsheetml.comments+xml"/>
  <Override PartName="/xl/threadedComments/threadedComment39.xml" ContentType="application/vnd.ms-excel.threadedcomments+xml"/>
  <Override PartName="/xl/comments40.xml" ContentType="application/vnd.openxmlformats-officedocument.spreadsheetml.comments+xml"/>
  <Override PartName="/xl/threadedComments/threadedComment40.xml" ContentType="application/vnd.ms-excel.threadedcomments+xml"/>
  <Override PartName="/xl/comments41.xml" ContentType="application/vnd.openxmlformats-officedocument.spreadsheetml.comments+xml"/>
  <Override PartName="/xl/threadedComments/threadedComment41.xml" ContentType="application/vnd.ms-excel.threadedcomments+xml"/>
  <Override PartName="/xl/comments42.xml" ContentType="application/vnd.openxmlformats-officedocument.spreadsheetml.comments+xml"/>
  <Override PartName="/xl/threadedComments/threadedComment42.xml" ContentType="application/vnd.ms-excel.threadedcomments+xml"/>
  <Override PartName="/xl/comments43.xml" ContentType="application/vnd.openxmlformats-officedocument.spreadsheetml.comments+xml"/>
  <Override PartName="/xl/threadedComments/threadedComment43.xml" ContentType="application/vnd.ms-excel.threadedcomments+xml"/>
  <Override PartName="/xl/comments44.xml" ContentType="application/vnd.openxmlformats-officedocument.spreadsheetml.comments+xml"/>
  <Override PartName="/xl/threadedComments/threadedComment44.xml" ContentType="application/vnd.ms-excel.threadedcomments+xml"/>
  <Override PartName="/xl/comments45.xml" ContentType="application/vnd.openxmlformats-officedocument.spreadsheetml.comments+xml"/>
  <Override PartName="/xl/threadedComments/threadedComment45.xml" ContentType="application/vnd.ms-excel.threadedcomments+xml"/>
  <Override PartName="/xl/comments46.xml" ContentType="application/vnd.openxmlformats-officedocument.spreadsheetml.comments+xml"/>
  <Override PartName="/xl/threadedComments/threadedComment46.xml" ContentType="application/vnd.ms-excel.threadedcomments+xml"/>
  <Override PartName="/xl/comments47.xml" ContentType="application/vnd.openxmlformats-officedocument.spreadsheetml.comments+xml"/>
  <Override PartName="/xl/threadedComments/threadedComment47.xml" ContentType="application/vnd.ms-excel.threadedcomments+xml"/>
  <Override PartName="/xl/comments48.xml" ContentType="application/vnd.openxmlformats-officedocument.spreadsheetml.comments+xml"/>
  <Override PartName="/xl/threadedComments/threadedComment48.xml" ContentType="application/vnd.ms-excel.threadedcomments+xml"/>
  <Override PartName="/xl/comments49.xml" ContentType="application/vnd.openxmlformats-officedocument.spreadsheetml.comments+xml"/>
  <Override PartName="/xl/threadedComments/threadedComment49.xml" ContentType="application/vnd.ms-excel.threadedcomments+xml"/>
  <Override PartName="/xl/comments50.xml" ContentType="application/vnd.openxmlformats-officedocument.spreadsheetml.comments+xml"/>
  <Override PartName="/xl/threadedComments/threadedComment50.xml" ContentType="application/vnd.ms-excel.threadedcomments+xml"/>
  <Override PartName="/xl/comments51.xml" ContentType="application/vnd.openxmlformats-officedocument.spreadsheetml.comments+xml"/>
  <Override PartName="/xl/threadedComments/threadedComment51.xml" ContentType="application/vnd.ms-excel.threadedcomments+xml"/>
  <Override PartName="/xl/comments52.xml" ContentType="application/vnd.openxmlformats-officedocument.spreadsheetml.comments+xml"/>
  <Override PartName="/xl/threadedComments/threadedComment52.xml" ContentType="application/vnd.ms-excel.threadedcomments+xml"/>
  <Override PartName="/xl/comments53.xml" ContentType="application/vnd.openxmlformats-officedocument.spreadsheetml.comments+xml"/>
  <Override PartName="/xl/threadedComments/threadedComment53.xml" ContentType="application/vnd.ms-excel.threadedcomments+xml"/>
  <Override PartName="/xl/comments54.xml" ContentType="application/vnd.openxmlformats-officedocument.spreadsheetml.comments+xml"/>
  <Override PartName="/xl/threadedComments/threadedComment54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an_\Documents\"/>
    </mc:Choice>
  </mc:AlternateContent>
  <xr:revisionPtr revIDLastSave="0" documentId="13_ncr:1_{FE10E6F1-5671-4639-BBA6-414CA492EB5F}" xr6:coauthVersionLast="47" xr6:coauthVersionMax="47" xr10:uidLastSave="{00000000-0000-0000-0000-000000000000}"/>
  <bookViews>
    <workbookView xWindow="-110" yWindow="-110" windowWidth="19420" windowHeight="10300" tabRatio="703" xr2:uid="{00000000-000D-0000-FFFF-FFFF00000000}"/>
  </bookViews>
  <sheets>
    <sheet name="7433081-042-00" sheetId="85" r:id="rId1"/>
    <sheet name="7527059-042-00" sheetId="86" r:id="rId2"/>
    <sheet name="7317068-000-01" sheetId="114" r:id="rId3"/>
    <sheet name="7317068-000-00" sheetId="113" r:id="rId4"/>
    <sheet name="6983039-000-00" sheetId="82" r:id="rId5"/>
    <sheet name="6741048-000-00" sheetId="118" r:id="rId6"/>
    <sheet name="6789027-048-00" sheetId="89" r:id="rId7"/>
    <sheet name="6789051-048-00" sheetId="90" r:id="rId8"/>
    <sheet name="6789076-048-00" sheetId="91" r:id="rId9"/>
    <sheet name="6789102-048-00" sheetId="92" r:id="rId10"/>
    <sheet name="6675027-048-00" sheetId="109" r:id="rId11"/>
    <sheet name="6675051-048-00" sheetId="110" r:id="rId12"/>
    <sheet name="6675076-048-00" sheetId="111" r:id="rId13"/>
    <sheet name="6675102-048-00" sheetId="131" r:id="rId14"/>
    <sheet name="6622051-094-00" sheetId="116" r:id="rId15"/>
    <sheet name="6622076-094-00" sheetId="106" r:id="rId16"/>
    <sheet name="6622102-094-00" sheetId="138" r:id="rId17"/>
    <sheet name="6624051-093-00" sheetId="107" r:id="rId18"/>
    <sheet name="6624102-093-00" sheetId="108" r:id="rId19"/>
    <sheet name="7494038-000-00" sheetId="93" r:id="rId20"/>
    <sheet name="7494044-000-00" sheetId="94" r:id="rId21"/>
    <sheet name="7494057-000-00" sheetId="95" r:id="rId22"/>
    <sheet name="7494068-000-00" sheetId="96" r:id="rId23"/>
    <sheet name="7494089-000-00" sheetId="97" r:id="rId24"/>
    <sheet name="7505051-095-00" sheetId="102" r:id="rId25"/>
    <sheet name="6153050-025-00" sheetId="115" r:id="rId26"/>
    <sheet name="7694050-000-00" sheetId="140" r:id="rId27"/>
    <sheet name="6623051-095-00" sheetId="117" r:id="rId28"/>
    <sheet name="6869027-000-00" sheetId="98" r:id="rId29"/>
    <sheet name="6869038-000-00" sheetId="132" r:id="rId30"/>
    <sheet name="6869051-000-00" sheetId="99" r:id="rId31"/>
    <sheet name="6869076-000-00" sheetId="100" r:id="rId32"/>
    <sheet name="6869102-000-00" sheetId="101" r:id="rId33"/>
    <sheet name="6777025-000-00" sheetId="112" r:id="rId34"/>
    <sheet name="6077025-000-01" sheetId="105" r:id="rId35"/>
    <sheet name="7588025-000-00" sheetId="88" r:id="rId36"/>
    <sheet name="6639025-000-00" sheetId="83" r:id="rId37"/>
    <sheet name="7690025-000-00" sheetId="103" r:id="rId38"/>
    <sheet name="7693026-000-00" sheetId="137" r:id="rId39"/>
    <sheet name="7560025-000-00" sheetId="134" r:id="rId40"/>
    <sheet name="7561025-000-00" sheetId="104" r:id="rId41"/>
    <sheet name="7561025-000-01" sheetId="122" r:id="rId42"/>
    <sheet name="7617025-000-00" sheetId="84" r:id="rId43"/>
    <sheet name="7620050-000-00" sheetId="126" r:id="rId44"/>
    <sheet name="7626025-000-00" sheetId="120" r:id="rId45"/>
    <sheet name="7632025-000-00" sheetId="123" r:id="rId46"/>
    <sheet name="7633025-042-00" sheetId="124" r:id="rId47"/>
    <sheet name="7634038-000-00" sheetId="125" r:id="rId48"/>
    <sheet name="7695038-000-00" sheetId="139" r:id="rId49"/>
    <sheet name="6568025-000-01" sheetId="135" r:id="rId50"/>
    <sheet name="5999089-000-00" sheetId="129" r:id="rId51"/>
    <sheet name="5999102-000-00" sheetId="128" r:id="rId52"/>
    <sheet name="5999051-000-00" sheetId="130" r:id="rId53"/>
    <sheet name="6704043-000-00" sheetId="87" r:id="rId54"/>
  </sheets>
  <functionGroups builtInGroupCount="19"/>
  <definedNames>
    <definedName name="_xleta.SCAN" hidden="1" xlm="1">#NAME?</definedName>
    <definedName name="_xlpm.a" hidden="1" xlm="1">#NAME?</definedName>
    <definedName name="DATE">OFFSET(#REF!,0,0,COUNTA(#REF!)+1,1)</definedName>
    <definedName name="DULIEU">OFFSET(#REF!,0,0,COUNTA(#REF!)+1,63)</definedName>
    <definedName name="GetSheetNames">GET.WORKBOOK(1)&amp;T(NOW())</definedName>
    <definedName name="ItemName">OFFSET(#REF!,0,0,1,COUNTA(#REF!)-1)</definedName>
    <definedName name="Kluong">OFFSET(#REF!,0,0,COUNTA(#REF!)-1,3)</definedName>
    <definedName name="NF">OFFSET(#REF!,0,0,1,COUNTA(#REF!)+1)</definedName>
    <definedName name="Pick">OFFSET(#REF!,0,0,COUNTA(#REF!)-1,2)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1" i="107" l="1"/>
  <c r="K30" i="107"/>
  <c r="M22" i="107"/>
  <c r="K22" i="107"/>
  <c r="D22" i="107" a="1"/>
  <c r="D22" i="107"/>
  <c r="K5" i="107"/>
  <c r="J5" i="107"/>
  <c r="I5" i="107"/>
  <c r="G5" i="107"/>
  <c r="C5" i="107"/>
  <c r="P9" i="120"/>
  <c r="T7" i="120"/>
  <c r="N7" i="120"/>
  <c r="N5" i="120"/>
  <c r="Q9" i="134"/>
  <c r="N5" i="89"/>
  <c r="K31" i="100" l="1"/>
  <c r="K30" i="85" l="1"/>
  <c r="K30" i="86"/>
  <c r="K31" i="96" l="1"/>
  <c r="D22" i="103" a="1"/>
  <c r="D22" i="103" s="1"/>
  <c r="K22" i="103" s="1"/>
  <c r="K23" i="103"/>
  <c r="K24" i="103"/>
  <c r="K25" i="103"/>
  <c r="K26" i="103"/>
  <c r="K27" i="103"/>
  <c r="K28" i="103"/>
  <c r="K29" i="103"/>
  <c r="D22" i="104" a="1"/>
  <c r="D22" i="104"/>
  <c r="K22" i="104"/>
  <c r="K23" i="104"/>
  <c r="K24" i="104"/>
  <c r="K25" i="104"/>
  <c r="K26" i="104"/>
  <c r="K27" i="104"/>
  <c r="K28" i="104"/>
  <c r="K29" i="104"/>
  <c r="K31" i="126"/>
  <c r="D22" i="87" a="1"/>
  <c r="D22" i="87" s="1"/>
  <c r="K22" i="87" s="1"/>
  <c r="K23" i="87"/>
  <c r="K24" i="87"/>
  <c r="K25" i="87"/>
  <c r="K26" i="87"/>
  <c r="K27" i="87"/>
  <c r="K28" i="87"/>
  <c r="K29" i="87"/>
  <c r="D22" i="130" a="1"/>
  <c r="D22" i="130" s="1"/>
  <c r="K22" i="130" s="1"/>
  <c r="K23" i="130"/>
  <c r="K24" i="130"/>
  <c r="K25" i="130"/>
  <c r="K26" i="130"/>
  <c r="K27" i="130"/>
  <c r="K28" i="130"/>
  <c r="K29" i="130"/>
  <c r="D22" i="128" a="1"/>
  <c r="D22" i="128" s="1"/>
  <c r="K22" i="128" s="1"/>
  <c r="K23" i="128"/>
  <c r="K24" i="128"/>
  <c r="K25" i="128"/>
  <c r="K26" i="128"/>
  <c r="K27" i="128"/>
  <c r="K28" i="128"/>
  <c r="K29" i="128"/>
  <c r="D22" i="129" a="1"/>
  <c r="D22" i="129" s="1"/>
  <c r="K22" i="129" s="1"/>
  <c r="K23" i="129"/>
  <c r="K24" i="129"/>
  <c r="K25" i="129"/>
  <c r="K26" i="129"/>
  <c r="K27" i="129"/>
  <c r="K28" i="129"/>
  <c r="K29" i="129"/>
  <c r="D22" i="135" a="1"/>
  <c r="D22" i="135" s="1"/>
  <c r="K22" i="135" s="1"/>
  <c r="K23" i="135"/>
  <c r="K24" i="135"/>
  <c r="K25" i="135"/>
  <c r="K26" i="135"/>
  <c r="K27" i="135"/>
  <c r="K28" i="135"/>
  <c r="K29" i="135"/>
  <c r="D22" i="139" a="1"/>
  <c r="D22" i="139" s="1"/>
  <c r="K22" i="139" s="1"/>
  <c r="K23" i="139"/>
  <c r="K24" i="139"/>
  <c r="K25" i="139"/>
  <c r="K26" i="139"/>
  <c r="K27" i="139"/>
  <c r="K28" i="139"/>
  <c r="K29" i="139"/>
  <c r="D22" i="125" a="1"/>
  <c r="D22" i="125" s="1"/>
  <c r="K22" i="125" s="1"/>
  <c r="K23" i="125"/>
  <c r="K24" i="125"/>
  <c r="K25" i="125"/>
  <c r="K26" i="125"/>
  <c r="K27" i="125"/>
  <c r="K28" i="125"/>
  <c r="K29" i="125"/>
  <c r="D22" i="124" a="1"/>
  <c r="D22" i="124" s="1"/>
  <c r="K22" i="124" s="1"/>
  <c r="K23" i="124"/>
  <c r="K24" i="124"/>
  <c r="K25" i="124"/>
  <c r="K26" i="124"/>
  <c r="K27" i="124"/>
  <c r="K28" i="124"/>
  <c r="K29" i="124"/>
  <c r="D22" i="123" a="1"/>
  <c r="D22" i="123" s="1"/>
  <c r="K22" i="123" s="1"/>
  <c r="K23" i="123"/>
  <c r="K24" i="123"/>
  <c r="K25" i="123"/>
  <c r="K26" i="123"/>
  <c r="K27" i="123"/>
  <c r="K28" i="123"/>
  <c r="K29" i="123"/>
  <c r="D22" i="120" a="1"/>
  <c r="D22" i="120" s="1"/>
  <c r="K22" i="120" s="1"/>
  <c r="K23" i="120"/>
  <c r="K24" i="120"/>
  <c r="K25" i="120"/>
  <c r="K26" i="120"/>
  <c r="K27" i="120"/>
  <c r="K28" i="120"/>
  <c r="K29" i="120"/>
  <c r="D22" i="126" a="1"/>
  <c r="D22" i="126" s="1"/>
  <c r="K22" i="126" s="1"/>
  <c r="K23" i="126"/>
  <c r="K24" i="126"/>
  <c r="K25" i="126"/>
  <c r="K26" i="126"/>
  <c r="K27" i="126"/>
  <c r="K28" i="126"/>
  <c r="K29" i="126"/>
  <c r="D22" i="84" a="1"/>
  <c r="D22" i="84" s="1"/>
  <c r="K22" i="84" s="1"/>
  <c r="K23" i="84"/>
  <c r="K24" i="84"/>
  <c r="K25" i="84"/>
  <c r="K26" i="84"/>
  <c r="K27" i="84"/>
  <c r="K28" i="84"/>
  <c r="K29" i="84"/>
  <c r="D22" i="122" a="1"/>
  <c r="D22" i="122" s="1"/>
  <c r="K22" i="122" s="1"/>
  <c r="K23" i="122"/>
  <c r="K24" i="122"/>
  <c r="K25" i="122"/>
  <c r="K26" i="122"/>
  <c r="K27" i="122"/>
  <c r="K28" i="122"/>
  <c r="K29" i="122"/>
  <c r="D22" i="134" a="1"/>
  <c r="D22" i="134" s="1"/>
  <c r="K22" i="134" s="1"/>
  <c r="K23" i="134"/>
  <c r="K24" i="134"/>
  <c r="K25" i="134"/>
  <c r="K26" i="134"/>
  <c r="K27" i="134"/>
  <c r="K28" i="134"/>
  <c r="K29" i="134"/>
  <c r="D22" i="137" a="1"/>
  <c r="D22" i="137" s="1"/>
  <c r="K24" i="137"/>
  <c r="K25" i="137"/>
  <c r="K26" i="137"/>
  <c r="K27" i="137"/>
  <c r="K28" i="137"/>
  <c r="K29" i="137"/>
  <c r="D22" i="83" a="1"/>
  <c r="D22" i="83" s="1"/>
  <c r="K22" i="83" s="1"/>
  <c r="K23" i="83"/>
  <c r="K24" i="83"/>
  <c r="K25" i="83"/>
  <c r="K26" i="83"/>
  <c r="K27" i="83"/>
  <c r="K28" i="83"/>
  <c r="K29" i="83"/>
  <c r="D22" i="88" a="1"/>
  <c r="D22" i="88" s="1"/>
  <c r="K22" i="88" s="1"/>
  <c r="K23" i="88"/>
  <c r="K24" i="88"/>
  <c r="K25" i="88"/>
  <c r="K26" i="88"/>
  <c r="K27" i="88"/>
  <c r="K28" i="88"/>
  <c r="K29" i="88"/>
  <c r="D22" i="105" a="1"/>
  <c r="D22" i="105" s="1"/>
  <c r="K22" i="105" s="1"/>
  <c r="K23" i="105"/>
  <c r="K24" i="105"/>
  <c r="K25" i="105"/>
  <c r="K26" i="105"/>
  <c r="K27" i="105"/>
  <c r="K28" i="105"/>
  <c r="K29" i="105"/>
  <c r="D22" i="112" a="1"/>
  <c r="D22" i="112" s="1"/>
  <c r="K22" i="112" s="1"/>
  <c r="K23" i="112"/>
  <c r="K24" i="112"/>
  <c r="K25" i="112"/>
  <c r="K26" i="112"/>
  <c r="K27" i="112"/>
  <c r="K28" i="112"/>
  <c r="K29" i="112"/>
  <c r="D22" i="101" a="1"/>
  <c r="D22" i="101" s="1"/>
  <c r="K22" i="101" s="1"/>
  <c r="K23" i="101"/>
  <c r="K24" i="101"/>
  <c r="K25" i="101"/>
  <c r="K26" i="101"/>
  <c r="K27" i="101"/>
  <c r="K28" i="101"/>
  <c r="K29" i="101"/>
  <c r="D22" i="100" a="1"/>
  <c r="D22" i="100" s="1"/>
  <c r="K22" i="100" s="1"/>
  <c r="K23" i="100"/>
  <c r="K24" i="100"/>
  <c r="K25" i="100"/>
  <c r="K26" i="100"/>
  <c r="K27" i="100"/>
  <c r="K28" i="100"/>
  <c r="K29" i="100"/>
  <c r="D22" i="99" a="1"/>
  <c r="D22" i="99" s="1"/>
  <c r="K22" i="99" s="1"/>
  <c r="K23" i="99"/>
  <c r="K24" i="99"/>
  <c r="K25" i="99"/>
  <c r="K26" i="99"/>
  <c r="K27" i="99"/>
  <c r="K28" i="99"/>
  <c r="K29" i="99"/>
  <c r="D22" i="132" a="1"/>
  <c r="D22" i="132" s="1"/>
  <c r="K22" i="132" s="1"/>
  <c r="K23" i="132"/>
  <c r="K24" i="132"/>
  <c r="K25" i="132"/>
  <c r="K26" i="132"/>
  <c r="K27" i="132"/>
  <c r="K28" i="132"/>
  <c r="K29" i="132"/>
  <c r="D22" i="98" a="1"/>
  <c r="D22" i="98" s="1"/>
  <c r="K22" i="98" s="1"/>
  <c r="K23" i="98"/>
  <c r="K24" i="98"/>
  <c r="K25" i="98"/>
  <c r="K26" i="98"/>
  <c r="K27" i="98"/>
  <c r="K28" i="98"/>
  <c r="K29" i="98"/>
  <c r="D22" i="117" a="1"/>
  <c r="D22" i="117" s="1"/>
  <c r="K22" i="117" s="1"/>
  <c r="K23" i="117"/>
  <c r="K24" i="117"/>
  <c r="K25" i="117"/>
  <c r="K26" i="117"/>
  <c r="K27" i="117"/>
  <c r="K28" i="117"/>
  <c r="K29" i="117"/>
  <c r="D22" i="140" a="1"/>
  <c r="D22" i="140" s="1"/>
  <c r="K26" i="140"/>
  <c r="K27" i="140"/>
  <c r="K28" i="140"/>
  <c r="K29" i="140"/>
  <c r="D22" i="115" a="1"/>
  <c r="D22" i="115" s="1"/>
  <c r="K22" i="115" s="1"/>
  <c r="K23" i="115"/>
  <c r="K24" i="115"/>
  <c r="K25" i="115"/>
  <c r="K26" i="115"/>
  <c r="K27" i="115"/>
  <c r="K28" i="115"/>
  <c r="K29" i="115"/>
  <c r="D22" i="102" a="1"/>
  <c r="D22" i="102" s="1"/>
  <c r="K22" i="102" s="1"/>
  <c r="K23" i="102"/>
  <c r="K24" i="102"/>
  <c r="K25" i="102"/>
  <c r="K26" i="102"/>
  <c r="K27" i="102"/>
  <c r="K28" i="102"/>
  <c r="K29" i="102"/>
  <c r="D22" i="97" a="1"/>
  <c r="D22" i="97" s="1"/>
  <c r="K22" i="97" s="1"/>
  <c r="K23" i="97"/>
  <c r="K24" i="97"/>
  <c r="K25" i="97"/>
  <c r="K26" i="97"/>
  <c r="K27" i="97"/>
  <c r="K28" i="97"/>
  <c r="K29" i="97"/>
  <c r="D22" i="96" a="1"/>
  <c r="D22" i="96" s="1"/>
  <c r="K22" i="96" s="1"/>
  <c r="K23" i="96"/>
  <c r="K24" i="96"/>
  <c r="K25" i="96"/>
  <c r="K26" i="96"/>
  <c r="K27" i="96"/>
  <c r="K28" i="96"/>
  <c r="K29" i="96"/>
  <c r="D22" i="95" a="1"/>
  <c r="D22" i="95" s="1"/>
  <c r="K22" i="95" s="1"/>
  <c r="K23" i="95"/>
  <c r="K24" i="95"/>
  <c r="K25" i="95"/>
  <c r="K26" i="95"/>
  <c r="K27" i="95"/>
  <c r="K28" i="95"/>
  <c r="K29" i="95"/>
  <c r="D22" i="94" a="1"/>
  <c r="D22" i="94" s="1"/>
  <c r="K22" i="94" s="1"/>
  <c r="K23" i="94"/>
  <c r="K24" i="94"/>
  <c r="K25" i="94"/>
  <c r="K26" i="94"/>
  <c r="K27" i="94"/>
  <c r="K28" i="94"/>
  <c r="K29" i="94"/>
  <c r="D22" i="93" a="1"/>
  <c r="D22" i="93" s="1"/>
  <c r="K22" i="93" s="1"/>
  <c r="K23" i="93"/>
  <c r="K24" i="93"/>
  <c r="K25" i="93"/>
  <c r="K26" i="93"/>
  <c r="K27" i="93"/>
  <c r="K28" i="93"/>
  <c r="K29" i="93"/>
  <c r="D22" i="108" a="1"/>
  <c r="D22" i="108" s="1"/>
  <c r="K22" i="108" s="1"/>
  <c r="K23" i="108"/>
  <c r="K24" i="108"/>
  <c r="K25" i="108"/>
  <c r="K26" i="108"/>
  <c r="K27" i="108"/>
  <c r="K28" i="108"/>
  <c r="K29" i="108"/>
  <c r="K26" i="107"/>
  <c r="K27" i="107"/>
  <c r="K28" i="107"/>
  <c r="K29" i="107"/>
  <c r="D22" i="138" a="1"/>
  <c r="D22" i="138" s="1"/>
  <c r="K22" i="138" s="1"/>
  <c r="K23" i="138"/>
  <c r="K24" i="138"/>
  <c r="K25" i="138"/>
  <c r="K26" i="138"/>
  <c r="K27" i="138"/>
  <c r="K28" i="138"/>
  <c r="K29" i="138"/>
  <c r="D22" i="106" a="1"/>
  <c r="D22" i="106" s="1"/>
  <c r="K22" i="106" s="1"/>
  <c r="K23" i="106"/>
  <c r="K24" i="106"/>
  <c r="K25" i="106"/>
  <c r="K26" i="106"/>
  <c r="K27" i="106"/>
  <c r="K28" i="106"/>
  <c r="K29" i="106"/>
  <c r="D22" i="116" a="1"/>
  <c r="D22" i="116" s="1"/>
  <c r="K22" i="116" s="1"/>
  <c r="K23" i="116"/>
  <c r="K24" i="116"/>
  <c r="K25" i="116"/>
  <c r="K26" i="116"/>
  <c r="K27" i="116"/>
  <c r="K28" i="116"/>
  <c r="K29" i="116"/>
  <c r="D22" i="131" a="1"/>
  <c r="D22" i="131" s="1"/>
  <c r="K22" i="131" s="1"/>
  <c r="K23" i="131"/>
  <c r="K24" i="131"/>
  <c r="K25" i="131"/>
  <c r="K26" i="131"/>
  <c r="K27" i="131"/>
  <c r="K28" i="131"/>
  <c r="K29" i="131"/>
  <c r="D22" i="111" a="1"/>
  <c r="D22" i="111" s="1"/>
  <c r="K22" i="111" s="1"/>
  <c r="K23" i="111"/>
  <c r="K24" i="111"/>
  <c r="K25" i="111"/>
  <c r="K26" i="111"/>
  <c r="K27" i="111"/>
  <c r="K28" i="111"/>
  <c r="K29" i="111"/>
  <c r="D22" i="110" a="1"/>
  <c r="D22" i="110" s="1"/>
  <c r="K22" i="110" s="1"/>
  <c r="K23" i="110"/>
  <c r="K24" i="110"/>
  <c r="K25" i="110"/>
  <c r="K26" i="110"/>
  <c r="K27" i="110"/>
  <c r="K28" i="110"/>
  <c r="K29" i="110"/>
  <c r="D22" i="109" a="1"/>
  <c r="D22" i="109" s="1"/>
  <c r="K22" i="109" s="1"/>
  <c r="K23" i="109"/>
  <c r="K24" i="109"/>
  <c r="K25" i="109"/>
  <c r="K26" i="109"/>
  <c r="K27" i="109"/>
  <c r="K28" i="109"/>
  <c r="K29" i="109"/>
  <c r="D22" i="92" a="1"/>
  <c r="D22" i="92" s="1"/>
  <c r="K22" i="92" s="1"/>
  <c r="K23" i="92"/>
  <c r="K24" i="92"/>
  <c r="K25" i="92"/>
  <c r="K26" i="92"/>
  <c r="K27" i="92"/>
  <c r="K28" i="92"/>
  <c r="K29" i="92"/>
  <c r="D22" i="91" a="1"/>
  <c r="D22" i="91" s="1"/>
  <c r="K22" i="91" s="1"/>
  <c r="K23" i="91"/>
  <c r="K24" i="91"/>
  <c r="K25" i="91"/>
  <c r="K26" i="91"/>
  <c r="K27" i="91"/>
  <c r="K28" i="91"/>
  <c r="K29" i="91"/>
  <c r="D22" i="90" a="1"/>
  <c r="D22" i="90" s="1"/>
  <c r="K22" i="90" s="1"/>
  <c r="K23" i="90"/>
  <c r="K24" i="90"/>
  <c r="K25" i="90"/>
  <c r="K26" i="90"/>
  <c r="K27" i="90"/>
  <c r="K28" i="90"/>
  <c r="K29" i="90"/>
  <c r="D22" i="89" a="1"/>
  <c r="D22" i="89" s="1"/>
  <c r="K22" i="89" s="1"/>
  <c r="K23" i="89"/>
  <c r="K24" i="89"/>
  <c r="K25" i="89"/>
  <c r="K26" i="89"/>
  <c r="K27" i="89"/>
  <c r="K28" i="89"/>
  <c r="K29" i="89"/>
  <c r="D22" i="118" a="1"/>
  <c r="D22" i="118" s="1"/>
  <c r="K22" i="118" s="1"/>
  <c r="K23" i="118"/>
  <c r="K24" i="118"/>
  <c r="K25" i="118"/>
  <c r="K26" i="118"/>
  <c r="K27" i="118"/>
  <c r="K28" i="118"/>
  <c r="K29" i="118"/>
  <c r="D22" i="82" a="1"/>
  <c r="D22" i="82" s="1"/>
  <c r="K22" i="82" s="1"/>
  <c r="K23" i="82"/>
  <c r="K24" i="82"/>
  <c r="K25" i="82"/>
  <c r="K26" i="82"/>
  <c r="K27" i="82"/>
  <c r="K28" i="82"/>
  <c r="K29" i="82"/>
  <c r="D22" i="113" a="1"/>
  <c r="D22" i="113" s="1"/>
  <c r="K22" i="113" s="1"/>
  <c r="K23" i="113"/>
  <c r="K24" i="113"/>
  <c r="K25" i="113"/>
  <c r="K26" i="113"/>
  <c r="K27" i="113"/>
  <c r="K28" i="113"/>
  <c r="K29" i="113"/>
  <c r="D22" i="114" a="1"/>
  <c r="D22" i="114" s="1"/>
  <c r="K22" i="114" s="1"/>
  <c r="K23" i="114"/>
  <c r="K24" i="114"/>
  <c r="K25" i="114"/>
  <c r="K26" i="114"/>
  <c r="K27" i="114"/>
  <c r="K28" i="114"/>
  <c r="K29" i="114"/>
  <c r="D22" i="86" a="1"/>
  <c r="D22" i="86" s="1"/>
  <c r="K22" i="86" s="1"/>
  <c r="K23" i="86"/>
  <c r="K24" i="86"/>
  <c r="K25" i="86"/>
  <c r="K26" i="86"/>
  <c r="K27" i="86"/>
  <c r="K28" i="86"/>
  <c r="K29" i="86"/>
  <c r="K23" i="85"/>
  <c r="K24" i="85"/>
  <c r="K25" i="85"/>
  <c r="K26" i="85"/>
  <c r="K27" i="85"/>
  <c r="K28" i="85"/>
  <c r="K29" i="85"/>
  <c r="D22" i="85" a="1"/>
  <c r="D22" i="85" s="1"/>
  <c r="K31" i="86"/>
  <c r="K32" i="86"/>
  <c r="K31" i="85"/>
  <c r="K32" i="85"/>
  <c r="N5" i="118"/>
  <c r="M5" i="118"/>
  <c r="K31" i="101" l="1"/>
  <c r="K32" i="97" l="1"/>
  <c r="K32" i="96"/>
  <c r="K32" i="95"/>
  <c r="K32" i="94"/>
  <c r="K32" i="93"/>
  <c r="K31" i="87" l="1"/>
  <c r="K31" i="130"/>
  <c r="K31" i="128"/>
  <c r="K31" i="129"/>
  <c r="K31" i="135"/>
  <c r="K31" i="139"/>
  <c r="K31" i="125"/>
  <c r="K31" i="124"/>
  <c r="K31" i="123"/>
  <c r="K31" i="120"/>
  <c r="N31" i="126"/>
  <c r="K31" i="84"/>
  <c r="K31" i="122"/>
  <c r="K31" i="104"/>
  <c r="K31" i="134"/>
  <c r="K31" i="103"/>
  <c r="K31" i="83"/>
  <c r="K31" i="88"/>
  <c r="K31" i="105"/>
  <c r="K31" i="112"/>
  <c r="K31" i="99"/>
  <c r="K31" i="132"/>
  <c r="K31" i="98"/>
  <c r="K31" i="117"/>
  <c r="K31" i="115"/>
  <c r="K31" i="102"/>
  <c r="K31" i="97"/>
  <c r="K31" i="95"/>
  <c r="K31" i="94"/>
  <c r="K31" i="93"/>
  <c r="K31" i="108"/>
  <c r="K31" i="138"/>
  <c r="K31" i="106"/>
  <c r="K31" i="116"/>
  <c r="K31" i="131"/>
  <c r="K31" i="111"/>
  <c r="K31" i="110"/>
  <c r="K31" i="109"/>
  <c r="K31" i="92"/>
  <c r="K31" i="91"/>
  <c r="K31" i="90"/>
  <c r="K31" i="89"/>
  <c r="K31" i="118"/>
  <c r="K31" i="82"/>
  <c r="K31" i="113"/>
  <c r="K31" i="114"/>
  <c r="K22" i="85" l="1"/>
  <c r="M22" i="109" l="1"/>
  <c r="M23" i="90"/>
  <c r="M24" i="90"/>
  <c r="M22" i="89"/>
  <c r="M22" i="85"/>
  <c r="M22" i="87"/>
  <c r="M23" i="130"/>
  <c r="M24" i="130"/>
  <c r="M22" i="130"/>
  <c r="M23" i="128"/>
  <c r="M24" i="128"/>
  <c r="M25" i="128"/>
  <c r="M22" i="128"/>
  <c r="M23" i="129"/>
  <c r="M24" i="129"/>
  <c r="M22" i="129"/>
  <c r="M23" i="135"/>
  <c r="M24" i="135"/>
  <c r="M25" i="135"/>
  <c r="M22" i="135"/>
  <c r="M23" i="139"/>
  <c r="M24" i="139"/>
  <c r="M25" i="139"/>
  <c r="M22" i="139"/>
  <c r="M23" i="125"/>
  <c r="M24" i="125"/>
  <c r="M25" i="125"/>
  <c r="M22" i="125"/>
  <c r="M23" i="124"/>
  <c r="M24" i="124"/>
  <c r="M25" i="124"/>
  <c r="M22" i="124"/>
  <c r="M23" i="123"/>
  <c r="M24" i="123"/>
  <c r="M25" i="123"/>
  <c r="M22" i="123"/>
  <c r="M23" i="120"/>
  <c r="M24" i="120"/>
  <c r="M25" i="120"/>
  <c r="M22" i="120"/>
  <c r="M23" i="126"/>
  <c r="M24" i="126"/>
  <c r="M25" i="126"/>
  <c r="M22" i="126"/>
  <c r="M23" i="84"/>
  <c r="M24" i="84"/>
  <c r="M25" i="84"/>
  <c r="M22" i="84"/>
  <c r="M23" i="122"/>
  <c r="M24" i="122"/>
  <c r="M22" i="122"/>
  <c r="M22" i="104"/>
  <c r="M23" i="134"/>
  <c r="M24" i="134"/>
  <c r="M25" i="134"/>
  <c r="M22" i="134"/>
  <c r="M23" i="137"/>
  <c r="M24" i="137"/>
  <c r="M22" i="137"/>
  <c r="M23" i="103"/>
  <c r="M24" i="103"/>
  <c r="M22" i="103"/>
  <c r="M23" i="83"/>
  <c r="M24" i="83"/>
  <c r="M22" i="83"/>
  <c r="M23" i="87"/>
  <c r="M24" i="87"/>
  <c r="M25" i="87"/>
  <c r="M23" i="88"/>
  <c r="M24" i="88"/>
  <c r="M25" i="88"/>
  <c r="M22" i="88"/>
  <c r="M23" i="105"/>
  <c r="M24" i="105"/>
  <c r="M22" i="105"/>
  <c r="M23" i="112"/>
  <c r="M24" i="112"/>
  <c r="M22" i="112"/>
  <c r="M23" i="101"/>
  <c r="M24" i="101"/>
  <c r="M25" i="101"/>
  <c r="M26" i="101"/>
  <c r="M27" i="101"/>
  <c r="M28" i="101"/>
  <c r="M22" i="101"/>
  <c r="M23" i="100"/>
  <c r="M24" i="100"/>
  <c r="M25" i="100"/>
  <c r="M26" i="100"/>
  <c r="M27" i="100"/>
  <c r="M28" i="100"/>
  <c r="M22" i="100"/>
  <c r="M23" i="99"/>
  <c r="M24" i="99"/>
  <c r="M25" i="99"/>
  <c r="M26" i="99"/>
  <c r="M27" i="99"/>
  <c r="M28" i="99"/>
  <c r="M22" i="99"/>
  <c r="M23" i="132"/>
  <c r="M24" i="132"/>
  <c r="M25" i="132"/>
  <c r="M26" i="132"/>
  <c r="M27" i="132"/>
  <c r="M28" i="132"/>
  <c r="M22" i="132"/>
  <c r="M23" i="98"/>
  <c r="M24" i="98"/>
  <c r="M25" i="98"/>
  <c r="M26" i="98"/>
  <c r="M27" i="98"/>
  <c r="M28" i="98"/>
  <c r="M22" i="98"/>
  <c r="M23" i="117"/>
  <c r="M24" i="117"/>
  <c r="M25" i="117"/>
  <c r="M22" i="117"/>
  <c r="M23" i="140"/>
  <c r="M24" i="140"/>
  <c r="M25" i="140"/>
  <c r="M26" i="140"/>
  <c r="M22" i="140"/>
  <c r="M23" i="115"/>
  <c r="M24" i="115"/>
  <c r="M25" i="115"/>
  <c r="M26" i="115"/>
  <c r="M22" i="115"/>
  <c r="M23" i="102"/>
  <c r="M24" i="102"/>
  <c r="M25" i="102"/>
  <c r="M22" i="102"/>
  <c r="M23" i="97"/>
  <c r="M24" i="97"/>
  <c r="M25" i="97"/>
  <c r="M22" i="97"/>
  <c r="M23" i="96"/>
  <c r="M24" i="96"/>
  <c r="M25" i="96"/>
  <c r="M22" i="96"/>
  <c r="M23" i="95"/>
  <c r="M24" i="95"/>
  <c r="M25" i="95"/>
  <c r="M22" i="95"/>
  <c r="M23" i="94"/>
  <c r="M24" i="94"/>
  <c r="M25" i="94"/>
  <c r="M22" i="94"/>
  <c r="M23" i="93"/>
  <c r="M24" i="93"/>
  <c r="M25" i="93"/>
  <c r="M22" i="93"/>
  <c r="M23" i="108"/>
  <c r="M24" i="108"/>
  <c r="M25" i="108"/>
  <c r="M26" i="108"/>
  <c r="M22" i="108"/>
  <c r="M23" i="107"/>
  <c r="M24" i="107"/>
  <c r="M25" i="107"/>
  <c r="M26" i="107"/>
  <c r="M23" i="138"/>
  <c r="M24" i="138"/>
  <c r="M25" i="138"/>
  <c r="M26" i="138"/>
  <c r="M22" i="138"/>
  <c r="M23" i="106"/>
  <c r="M24" i="106"/>
  <c r="M25" i="106"/>
  <c r="M26" i="106"/>
  <c r="M22" i="106"/>
  <c r="M23" i="116"/>
  <c r="M24" i="116"/>
  <c r="M25" i="116"/>
  <c r="M22" i="116"/>
  <c r="M23" i="131"/>
  <c r="M24" i="131"/>
  <c r="M25" i="131"/>
  <c r="M26" i="131"/>
  <c r="M27" i="131"/>
  <c r="M28" i="131"/>
  <c r="M22" i="131"/>
  <c r="M23" i="111"/>
  <c r="M24" i="111"/>
  <c r="M25" i="111"/>
  <c r="M26" i="111"/>
  <c r="M27" i="111"/>
  <c r="M28" i="111"/>
  <c r="M22" i="111"/>
  <c r="M23" i="110"/>
  <c r="M24" i="110"/>
  <c r="M25" i="110"/>
  <c r="M26" i="110"/>
  <c r="M27" i="110"/>
  <c r="M28" i="110"/>
  <c r="M22" i="110"/>
  <c r="M23" i="109"/>
  <c r="M24" i="109"/>
  <c r="M25" i="109"/>
  <c r="M26" i="109"/>
  <c r="M27" i="109"/>
  <c r="M28" i="109"/>
  <c r="M23" i="92"/>
  <c r="M24" i="92"/>
  <c r="M25" i="92"/>
  <c r="M26" i="92"/>
  <c r="M27" i="92"/>
  <c r="M28" i="92"/>
  <c r="M23" i="91"/>
  <c r="M24" i="91"/>
  <c r="M25" i="91"/>
  <c r="M26" i="91"/>
  <c r="M27" i="91"/>
  <c r="M28" i="91"/>
  <c r="M23" i="89"/>
  <c r="M24" i="89"/>
  <c r="M25" i="89"/>
  <c r="M26" i="89"/>
  <c r="M27" i="89"/>
  <c r="M28" i="89"/>
  <c r="M23" i="118"/>
  <c r="M24" i="118"/>
  <c r="M23" i="82"/>
  <c r="M24" i="82"/>
  <c r="M23" i="113"/>
  <c r="M24" i="113"/>
  <c r="M23" i="114"/>
  <c r="M24" i="114"/>
  <c r="M23" i="86"/>
  <c r="D1" i="85" a="1"/>
  <c r="D1" i="85" s="1"/>
  <c r="M23" i="85"/>
  <c r="K30" i="130"/>
  <c r="K30" i="129"/>
  <c r="K30" i="128"/>
  <c r="K30" i="135"/>
  <c r="K30" i="139"/>
  <c r="K30" i="125"/>
  <c r="K30" i="124"/>
  <c r="K30" i="123"/>
  <c r="K30" i="120"/>
  <c r="K30" i="126"/>
  <c r="K30" i="84"/>
  <c r="K30" i="122"/>
  <c r="K30" i="104"/>
  <c r="K30" i="134"/>
  <c r="K30" i="103"/>
  <c r="K30" i="83"/>
  <c r="K30" i="87"/>
  <c r="K30" i="88"/>
  <c r="K30" i="105"/>
  <c r="K30" i="112"/>
  <c r="K30" i="101"/>
  <c r="K30" i="100"/>
  <c r="K30" i="99"/>
  <c r="K30" i="132"/>
  <c r="K30" i="98"/>
  <c r="K30" i="117"/>
  <c r="K30" i="115"/>
  <c r="K30" i="102"/>
  <c r="K30" i="97"/>
  <c r="K30" i="96"/>
  <c r="K30" i="95"/>
  <c r="K30" i="94"/>
  <c r="K30" i="93"/>
  <c r="K30" i="108"/>
  <c r="K30" i="138"/>
  <c r="K30" i="106"/>
  <c r="K30" i="116"/>
  <c r="K30" i="111"/>
  <c r="K30" i="110"/>
  <c r="K30" i="109"/>
  <c r="K30" i="92"/>
  <c r="K30" i="91"/>
  <c r="K30" i="90"/>
  <c r="K30" i="89"/>
  <c r="K30" i="118"/>
  <c r="K30" i="82"/>
  <c r="K30" i="113"/>
  <c r="K30" i="114"/>
  <c r="M22" i="92" l="1"/>
  <c r="M22" i="91"/>
  <c r="M26" i="90"/>
  <c r="M25" i="90"/>
  <c r="M22" i="90"/>
  <c r="M22" i="118"/>
  <c r="M22" i="82"/>
  <c r="M22" i="113"/>
  <c r="M22" i="114"/>
  <c r="M22" i="86"/>
  <c r="B18" i="140"/>
  <c r="I17" i="140"/>
  <c r="C17" i="140"/>
  <c r="C16" i="140"/>
  <c r="I16" i="140" s="1"/>
  <c r="C15" i="140"/>
  <c r="I15" i="140" s="1"/>
  <c r="C14" i="140"/>
  <c r="I14" i="140" s="1"/>
  <c r="C13" i="140"/>
  <c r="I13" i="140" s="1"/>
  <c r="C12" i="140"/>
  <c r="I12" i="140" s="1"/>
  <c r="C11" i="140"/>
  <c r="I11" i="140" s="1"/>
  <c r="C10" i="140"/>
  <c r="I10" i="140" s="1"/>
  <c r="I9" i="140"/>
  <c r="C9" i="140"/>
  <c r="C8" i="140"/>
  <c r="I8" i="140" s="1"/>
  <c r="C7" i="140"/>
  <c r="I7" i="140" s="1"/>
  <c r="C6" i="140"/>
  <c r="I6" i="140" s="1"/>
  <c r="C5" i="140"/>
  <c r="I5" i="140" s="1"/>
  <c r="D1" i="140" a="1"/>
  <c r="D1" i="140" s="1"/>
  <c r="B18" i="139"/>
  <c r="C17" i="139"/>
  <c r="I17" i="139" s="1"/>
  <c r="C16" i="139"/>
  <c r="I16" i="139" s="1"/>
  <c r="C15" i="139"/>
  <c r="I15" i="139" s="1"/>
  <c r="C14" i="139"/>
  <c r="C13" i="139"/>
  <c r="I13" i="139" s="1"/>
  <c r="C12" i="139"/>
  <c r="I12" i="139" s="1"/>
  <c r="C11" i="139"/>
  <c r="I11" i="139" s="1"/>
  <c r="C10" i="139"/>
  <c r="C9" i="139"/>
  <c r="I9" i="139" s="1"/>
  <c r="C8" i="139"/>
  <c r="I8" i="139" s="1"/>
  <c r="C7" i="139"/>
  <c r="I7" i="139" s="1"/>
  <c r="C6" i="139"/>
  <c r="C5" i="139"/>
  <c r="I5" i="139" s="1"/>
  <c r="D1" i="139" a="1"/>
  <c r="D1" i="139" s="1"/>
  <c r="B18" i="138"/>
  <c r="C17" i="138"/>
  <c r="I17" i="138" s="1"/>
  <c r="C16" i="138"/>
  <c r="I16" i="138" s="1"/>
  <c r="C15" i="138"/>
  <c r="I15" i="138" s="1"/>
  <c r="I14" i="138"/>
  <c r="C14" i="138"/>
  <c r="C13" i="138"/>
  <c r="I13" i="138" s="1"/>
  <c r="C12" i="138"/>
  <c r="C11" i="138"/>
  <c r="I11" i="138" s="1"/>
  <c r="I10" i="138"/>
  <c r="C10" i="138"/>
  <c r="C9" i="138"/>
  <c r="I9" i="138" s="1"/>
  <c r="C8" i="138"/>
  <c r="C7" i="138"/>
  <c r="I7" i="138" s="1"/>
  <c r="C6" i="138"/>
  <c r="I6" i="138" s="1"/>
  <c r="C5" i="138"/>
  <c r="I5" i="138" s="1"/>
  <c r="D1" i="138" a="1"/>
  <c r="D1" i="138" s="1"/>
  <c r="B18" i="137"/>
  <c r="C17" i="137"/>
  <c r="I17" i="137" s="1"/>
  <c r="C16" i="137"/>
  <c r="I16" i="137" s="1"/>
  <c r="C15" i="137"/>
  <c r="I15" i="137" s="1"/>
  <c r="C14" i="137"/>
  <c r="I14" i="137" s="1"/>
  <c r="C13" i="137"/>
  <c r="I13" i="137" s="1"/>
  <c r="C12" i="137"/>
  <c r="I12" i="137" s="1"/>
  <c r="C11" i="137"/>
  <c r="I11" i="137" s="1"/>
  <c r="C10" i="137"/>
  <c r="I10" i="137" s="1"/>
  <c r="I9" i="137"/>
  <c r="C9" i="137"/>
  <c r="C8" i="137"/>
  <c r="I8" i="137" s="1"/>
  <c r="C7" i="137"/>
  <c r="I7" i="137" s="1"/>
  <c r="C6" i="137"/>
  <c r="I6" i="137" s="1"/>
  <c r="C5" i="137"/>
  <c r="I5" i="137" s="1"/>
  <c r="D1" i="137" a="1"/>
  <c r="D1" i="137" s="1"/>
  <c r="C15" i="104"/>
  <c r="C14" i="135"/>
  <c r="I14" i="135" s="1"/>
  <c r="B18" i="135"/>
  <c r="C17" i="135"/>
  <c r="I17" i="135" s="1"/>
  <c r="C16" i="135"/>
  <c r="C15" i="135"/>
  <c r="I15" i="135" s="1"/>
  <c r="C13" i="135"/>
  <c r="I13" i="135" s="1"/>
  <c r="C12" i="135"/>
  <c r="I12" i="135" s="1"/>
  <c r="C11" i="135"/>
  <c r="I11" i="135" s="1"/>
  <c r="C10" i="135"/>
  <c r="I10" i="135" s="1"/>
  <c r="C9" i="135"/>
  <c r="I9" i="135" s="1"/>
  <c r="C8" i="135"/>
  <c r="C7" i="135"/>
  <c r="I7" i="135" s="1"/>
  <c r="C6" i="135"/>
  <c r="I6" i="135" s="1"/>
  <c r="C5" i="135"/>
  <c r="I5" i="135" s="1"/>
  <c r="D1" i="135" a="1"/>
  <c r="D1" i="135" s="1"/>
  <c r="B18" i="134"/>
  <c r="C17" i="134"/>
  <c r="I17" i="134" s="1"/>
  <c r="C16" i="134"/>
  <c r="I16" i="134" s="1"/>
  <c r="C15" i="134"/>
  <c r="I15" i="134" s="1"/>
  <c r="C14" i="134"/>
  <c r="I14" i="134" s="1"/>
  <c r="I13" i="134"/>
  <c r="C13" i="134"/>
  <c r="C12" i="134"/>
  <c r="I12" i="134" s="1"/>
  <c r="C11" i="134"/>
  <c r="I11" i="134" s="1"/>
  <c r="C10" i="134"/>
  <c r="I10" i="134" s="1"/>
  <c r="C9" i="134"/>
  <c r="I9" i="134" s="1"/>
  <c r="C8" i="134"/>
  <c r="I8" i="134" s="1"/>
  <c r="C7" i="134"/>
  <c r="I7" i="134" s="1"/>
  <c r="C6" i="134"/>
  <c r="I6" i="134" s="1"/>
  <c r="C5" i="134"/>
  <c r="I5" i="134" s="1"/>
  <c r="D1" i="134" a="1"/>
  <c r="D1" i="134" s="1"/>
  <c r="M28" i="90" l="1"/>
  <c r="M27" i="90"/>
  <c r="I20" i="140"/>
  <c r="J11" i="140" s="1"/>
  <c r="J12" i="140"/>
  <c r="I6" i="139"/>
  <c r="I10" i="139"/>
  <c r="I14" i="139"/>
  <c r="I8" i="138"/>
  <c r="I12" i="138"/>
  <c r="I20" i="137"/>
  <c r="J10" i="137" s="1"/>
  <c r="I8" i="135"/>
  <c r="I16" i="135"/>
  <c r="I20" i="134"/>
  <c r="J13" i="134" s="1"/>
  <c r="J11" i="134" l="1"/>
  <c r="J5" i="140"/>
  <c r="J9" i="140"/>
  <c r="J17" i="140"/>
  <c r="J6" i="140"/>
  <c r="J16" i="140"/>
  <c r="J8" i="140"/>
  <c r="J15" i="140"/>
  <c r="J7" i="140"/>
  <c r="J13" i="140"/>
  <c r="J10" i="140"/>
  <c r="J14" i="140"/>
  <c r="I20" i="139"/>
  <c r="J10" i="139" s="1"/>
  <c r="I20" i="138"/>
  <c r="J12" i="138" s="1"/>
  <c r="J16" i="137"/>
  <c r="J9" i="137"/>
  <c r="J7" i="137"/>
  <c r="J11" i="137"/>
  <c r="J17" i="137"/>
  <c r="J5" i="137"/>
  <c r="J12" i="137"/>
  <c r="J8" i="137"/>
  <c r="J6" i="137"/>
  <c r="J13" i="137"/>
  <c r="J15" i="137"/>
  <c r="J14" i="137"/>
  <c r="J5" i="134"/>
  <c r="J7" i="134"/>
  <c r="J15" i="134"/>
  <c r="J14" i="134"/>
  <c r="J10" i="134"/>
  <c r="J17" i="134"/>
  <c r="J9" i="134"/>
  <c r="I20" i="135"/>
  <c r="J16" i="134"/>
  <c r="J12" i="134"/>
  <c r="J8" i="134"/>
  <c r="J6" i="134"/>
  <c r="J6" i="139" l="1"/>
  <c r="J11" i="139"/>
  <c r="J15" i="139"/>
  <c r="J7" i="139"/>
  <c r="J9" i="139"/>
  <c r="J5" i="139"/>
  <c r="J8" i="139"/>
  <c r="J12" i="139"/>
  <c r="J17" i="139"/>
  <c r="J13" i="139"/>
  <c r="J16" i="139"/>
  <c r="J14" i="139"/>
  <c r="J9" i="138"/>
  <c r="J7" i="138"/>
  <c r="J16" i="138"/>
  <c r="J10" i="138"/>
  <c r="J6" i="138"/>
  <c r="J15" i="138"/>
  <c r="J13" i="138"/>
  <c r="J5" i="138"/>
  <c r="J17" i="138"/>
  <c r="J11" i="138"/>
  <c r="J14" i="138"/>
  <c r="J8" i="138"/>
  <c r="J13" i="135"/>
  <c r="J11" i="135"/>
  <c r="J5" i="135"/>
  <c r="J15" i="135"/>
  <c r="J14" i="135"/>
  <c r="J7" i="135"/>
  <c r="J6" i="135"/>
  <c r="J17" i="135"/>
  <c r="J12" i="135"/>
  <c r="J10" i="135"/>
  <c r="J9" i="135"/>
  <c r="J16" i="135"/>
  <c r="J8" i="135"/>
  <c r="B18" i="132" l="1"/>
  <c r="C17" i="132"/>
  <c r="I17" i="132" s="1"/>
  <c r="C16" i="132"/>
  <c r="I16" i="132" s="1"/>
  <c r="C15" i="132"/>
  <c r="I15" i="132" s="1"/>
  <c r="C14" i="132"/>
  <c r="C13" i="132"/>
  <c r="I13" i="132" s="1"/>
  <c r="C12" i="132"/>
  <c r="I12" i="132" s="1"/>
  <c r="C11" i="132"/>
  <c r="I11" i="132" s="1"/>
  <c r="C10" i="132"/>
  <c r="I10" i="132" s="1"/>
  <c r="C9" i="132"/>
  <c r="C8" i="132"/>
  <c r="C7" i="132"/>
  <c r="I7" i="132" s="1"/>
  <c r="C6" i="132"/>
  <c r="I6" i="132" s="1"/>
  <c r="C5" i="132"/>
  <c r="I5" i="132" s="1"/>
  <c r="D1" i="132" a="1"/>
  <c r="D1" i="132" s="1"/>
  <c r="B18" i="131"/>
  <c r="C17" i="131"/>
  <c r="I17" i="131" s="1"/>
  <c r="C16" i="131"/>
  <c r="I16" i="131" s="1"/>
  <c r="C15" i="131"/>
  <c r="I15" i="131" s="1"/>
  <c r="C14" i="131"/>
  <c r="I14" i="131" s="1"/>
  <c r="C13" i="131"/>
  <c r="I13" i="131" s="1"/>
  <c r="C12" i="131"/>
  <c r="C11" i="131"/>
  <c r="C10" i="131"/>
  <c r="I10" i="131" s="1"/>
  <c r="C9" i="131"/>
  <c r="I9" i="131" s="1"/>
  <c r="C8" i="131"/>
  <c r="I8" i="131" s="1"/>
  <c r="C7" i="131"/>
  <c r="C6" i="131"/>
  <c r="I6" i="131" s="1"/>
  <c r="C5" i="131"/>
  <c r="I5" i="131" s="1"/>
  <c r="D1" i="131" a="1"/>
  <c r="D1" i="131" s="1"/>
  <c r="C8" i="103"/>
  <c r="C5" i="103"/>
  <c r="D1" i="82" a="1"/>
  <c r="D1" i="82" s="1"/>
  <c r="I9" i="132" l="1"/>
  <c r="I14" i="132"/>
  <c r="I8" i="132"/>
  <c r="I11" i="131"/>
  <c r="I12" i="131"/>
  <c r="I7" i="131"/>
  <c r="B18" i="130"/>
  <c r="C17" i="130"/>
  <c r="I17" i="130" s="1"/>
  <c r="C16" i="130"/>
  <c r="I16" i="130" s="1"/>
  <c r="C15" i="130"/>
  <c r="I15" i="130" s="1"/>
  <c r="C14" i="130"/>
  <c r="I14" i="130" s="1"/>
  <c r="I13" i="130"/>
  <c r="C13" i="130"/>
  <c r="C12" i="130"/>
  <c r="I12" i="130" s="1"/>
  <c r="C11" i="130"/>
  <c r="I11" i="130" s="1"/>
  <c r="C10" i="130"/>
  <c r="I10" i="130" s="1"/>
  <c r="C9" i="130"/>
  <c r="I9" i="130" s="1"/>
  <c r="C8" i="130"/>
  <c r="I8" i="130" s="1"/>
  <c r="C7" i="130"/>
  <c r="I7" i="130" s="1"/>
  <c r="C6" i="130"/>
  <c r="I6" i="130" s="1"/>
  <c r="C5" i="130"/>
  <c r="I5" i="130" s="1"/>
  <c r="D1" i="130" a="1"/>
  <c r="D1" i="130" s="1"/>
  <c r="B18" i="129"/>
  <c r="I17" i="129"/>
  <c r="C17" i="129"/>
  <c r="C16" i="129"/>
  <c r="I16" i="129" s="1"/>
  <c r="C15" i="129"/>
  <c r="I15" i="129" s="1"/>
  <c r="C14" i="129"/>
  <c r="I14" i="129" s="1"/>
  <c r="C13" i="129"/>
  <c r="I13" i="129" s="1"/>
  <c r="I12" i="129"/>
  <c r="C12" i="129"/>
  <c r="I11" i="129"/>
  <c r="C11" i="129"/>
  <c r="I10" i="129"/>
  <c r="C10" i="129"/>
  <c r="C9" i="129"/>
  <c r="I9" i="129" s="1"/>
  <c r="C8" i="129"/>
  <c r="I7" i="129"/>
  <c r="C7" i="129"/>
  <c r="C6" i="129"/>
  <c r="I6" i="129" s="1"/>
  <c r="C5" i="129"/>
  <c r="I5" i="129" s="1"/>
  <c r="D1" i="129" a="1"/>
  <c r="D1" i="129" s="1"/>
  <c r="B18" i="128"/>
  <c r="I17" i="128"/>
  <c r="C17" i="128"/>
  <c r="C16" i="128"/>
  <c r="I16" i="128" s="1"/>
  <c r="C15" i="128"/>
  <c r="I15" i="128" s="1"/>
  <c r="C14" i="128"/>
  <c r="I14" i="128" s="1"/>
  <c r="I13" i="128"/>
  <c r="C13" i="128"/>
  <c r="I12" i="128"/>
  <c r="C12" i="128"/>
  <c r="I11" i="128"/>
  <c r="C11" i="128"/>
  <c r="I10" i="128"/>
  <c r="C10" i="128"/>
  <c r="C9" i="128"/>
  <c r="I9" i="128" s="1"/>
  <c r="C8" i="128"/>
  <c r="I8" i="128" s="1"/>
  <c r="C7" i="128"/>
  <c r="I7" i="128" s="1"/>
  <c r="C6" i="128"/>
  <c r="I6" i="128" s="1"/>
  <c r="C5" i="128"/>
  <c r="I5" i="128" s="1"/>
  <c r="D1" i="128" a="1"/>
  <c r="D1" i="128" s="1"/>
  <c r="B18" i="126"/>
  <c r="C17" i="126"/>
  <c r="I17" i="126" s="1"/>
  <c r="C16" i="126"/>
  <c r="I16" i="126" s="1"/>
  <c r="C15" i="126"/>
  <c r="I15" i="126" s="1"/>
  <c r="C14" i="126"/>
  <c r="I14" i="126" s="1"/>
  <c r="C13" i="126"/>
  <c r="I13" i="126" s="1"/>
  <c r="C12" i="126"/>
  <c r="I12" i="126" s="1"/>
  <c r="C11" i="126"/>
  <c r="I11" i="126" s="1"/>
  <c r="C10" i="126"/>
  <c r="I10" i="126" s="1"/>
  <c r="I9" i="126"/>
  <c r="C9" i="126"/>
  <c r="C8" i="126"/>
  <c r="I8" i="126" s="1"/>
  <c r="C7" i="126"/>
  <c r="I7" i="126" s="1"/>
  <c r="C6" i="126"/>
  <c r="I6" i="126" s="1"/>
  <c r="C5" i="126"/>
  <c r="I5" i="126" s="1"/>
  <c r="D1" i="126" a="1"/>
  <c r="D1" i="126" s="1"/>
  <c r="I20" i="132" l="1"/>
  <c r="I20" i="131"/>
  <c r="J9" i="131" s="1"/>
  <c r="I20" i="130"/>
  <c r="I20" i="129"/>
  <c r="J12" i="129" s="1"/>
  <c r="I8" i="129"/>
  <c r="I20" i="128"/>
  <c r="J10" i="128" s="1"/>
  <c r="I20" i="126"/>
  <c r="J12" i="126" s="1"/>
  <c r="J6" i="126" l="1"/>
  <c r="J7" i="126"/>
  <c r="J11" i="126"/>
  <c r="J5" i="126"/>
  <c r="J14" i="126"/>
  <c r="J13" i="126"/>
  <c r="J17" i="126"/>
  <c r="J13" i="132"/>
  <c r="J17" i="132"/>
  <c r="J5" i="132"/>
  <c r="J16" i="132"/>
  <c r="J15" i="132"/>
  <c r="J6" i="132"/>
  <c r="J11" i="132"/>
  <c r="J10" i="132"/>
  <c r="J12" i="132"/>
  <c r="J7" i="132"/>
  <c r="J8" i="132"/>
  <c r="J9" i="132"/>
  <c r="J14" i="132"/>
  <c r="J10" i="131"/>
  <c r="J17" i="131"/>
  <c r="J7" i="131"/>
  <c r="J8" i="131"/>
  <c r="J6" i="131"/>
  <c r="J11" i="131"/>
  <c r="J5" i="131"/>
  <c r="J13" i="131"/>
  <c r="J14" i="131"/>
  <c r="J15" i="131"/>
  <c r="J12" i="131"/>
  <c r="J16" i="131"/>
  <c r="J10" i="130"/>
  <c r="J15" i="130"/>
  <c r="J7" i="130"/>
  <c r="J17" i="130"/>
  <c r="J12" i="130"/>
  <c r="J16" i="130"/>
  <c r="J9" i="130"/>
  <c r="J11" i="130"/>
  <c r="J14" i="130"/>
  <c r="J6" i="130"/>
  <c r="J8" i="130"/>
  <c r="J5" i="130"/>
  <c r="J13" i="130"/>
  <c r="J15" i="129"/>
  <c r="J7" i="129"/>
  <c r="J17" i="129"/>
  <c r="J10" i="129"/>
  <c r="J8" i="129"/>
  <c r="J16" i="129"/>
  <c r="J14" i="129"/>
  <c r="J11" i="129"/>
  <c r="J9" i="129"/>
  <c r="J6" i="129"/>
  <c r="J13" i="129"/>
  <c r="J5" i="129"/>
  <c r="J16" i="128"/>
  <c r="J17" i="128"/>
  <c r="J6" i="128"/>
  <c r="J12" i="128"/>
  <c r="J7" i="128"/>
  <c r="J5" i="128"/>
  <c r="J13" i="128"/>
  <c r="J11" i="128"/>
  <c r="J9" i="128"/>
  <c r="J14" i="128"/>
  <c r="J8" i="128"/>
  <c r="J15" i="128"/>
  <c r="K14" i="126"/>
  <c r="J16" i="126"/>
  <c r="J9" i="126"/>
  <c r="J15" i="126"/>
  <c r="J10" i="126"/>
  <c r="J8" i="126"/>
  <c r="K10" i="126" l="1"/>
  <c r="K15" i="126"/>
  <c r="K13" i="126"/>
  <c r="K9" i="126"/>
  <c r="K8" i="126"/>
  <c r="K6" i="126"/>
  <c r="K16" i="126"/>
  <c r="K5" i="126"/>
  <c r="K7" i="126"/>
  <c r="K12" i="126"/>
  <c r="K11" i="126"/>
  <c r="K17" i="126"/>
  <c r="G12" i="126"/>
  <c r="G7" i="126"/>
  <c r="G14" i="126"/>
  <c r="G6" i="126"/>
  <c r="G13" i="126"/>
  <c r="G9" i="126"/>
  <c r="G11" i="126"/>
  <c r="G5" i="126"/>
  <c r="G8" i="126"/>
  <c r="G16" i="126"/>
  <c r="G15" i="126"/>
  <c r="G10" i="126"/>
  <c r="G20" i="126" l="1"/>
  <c r="K20" i="126"/>
  <c r="B18" i="125" l="1"/>
  <c r="C17" i="125"/>
  <c r="I17" i="125" s="1"/>
  <c r="C16" i="125"/>
  <c r="I16" i="125" s="1"/>
  <c r="C15" i="125"/>
  <c r="I15" i="125" s="1"/>
  <c r="C14" i="125"/>
  <c r="I14" i="125" s="1"/>
  <c r="C13" i="125"/>
  <c r="I13" i="125" s="1"/>
  <c r="C12" i="125"/>
  <c r="I12" i="125" s="1"/>
  <c r="C11" i="125"/>
  <c r="I11" i="125" s="1"/>
  <c r="C10" i="125"/>
  <c r="I10" i="125" s="1"/>
  <c r="C9" i="125"/>
  <c r="I9" i="125" s="1"/>
  <c r="C8" i="125"/>
  <c r="I8" i="125" s="1"/>
  <c r="C7" i="125"/>
  <c r="I7" i="125" s="1"/>
  <c r="C6" i="125"/>
  <c r="I6" i="125" s="1"/>
  <c r="C5" i="125"/>
  <c r="I5" i="125" s="1"/>
  <c r="D1" i="125" a="1"/>
  <c r="D1" i="125" s="1"/>
  <c r="B18" i="124"/>
  <c r="C17" i="124"/>
  <c r="I17" i="124" s="1"/>
  <c r="C16" i="124"/>
  <c r="I16" i="124" s="1"/>
  <c r="C15" i="124"/>
  <c r="I15" i="124" s="1"/>
  <c r="C14" i="124"/>
  <c r="I14" i="124" s="1"/>
  <c r="C13" i="124"/>
  <c r="I13" i="124" s="1"/>
  <c r="C12" i="124"/>
  <c r="I12" i="124" s="1"/>
  <c r="C11" i="124"/>
  <c r="I11" i="124" s="1"/>
  <c r="C10" i="124"/>
  <c r="I10" i="124" s="1"/>
  <c r="C9" i="124"/>
  <c r="C8" i="124"/>
  <c r="I8" i="124" s="1"/>
  <c r="C7" i="124"/>
  <c r="I7" i="124" s="1"/>
  <c r="C6" i="124"/>
  <c r="I6" i="124" s="1"/>
  <c r="C5" i="124"/>
  <c r="I5" i="124" s="1"/>
  <c r="D1" i="124" a="1"/>
  <c r="D1" i="124" s="1"/>
  <c r="B18" i="123"/>
  <c r="C17" i="123"/>
  <c r="I17" i="123" s="1"/>
  <c r="C16" i="123"/>
  <c r="I16" i="123" s="1"/>
  <c r="C15" i="123"/>
  <c r="I15" i="123" s="1"/>
  <c r="C14" i="123"/>
  <c r="I14" i="123" s="1"/>
  <c r="C13" i="123"/>
  <c r="I13" i="123" s="1"/>
  <c r="C12" i="123"/>
  <c r="I12" i="123" s="1"/>
  <c r="C11" i="123"/>
  <c r="I11" i="123" s="1"/>
  <c r="C10" i="123"/>
  <c r="I10" i="123" s="1"/>
  <c r="C9" i="123"/>
  <c r="C8" i="123"/>
  <c r="I8" i="123" s="1"/>
  <c r="C7" i="123"/>
  <c r="I7" i="123" s="1"/>
  <c r="C6" i="123"/>
  <c r="C5" i="123"/>
  <c r="I5" i="123" s="1"/>
  <c r="D1" i="123" a="1"/>
  <c r="D1" i="123" s="1"/>
  <c r="I20" i="125" l="1"/>
  <c r="J12" i="125" s="1"/>
  <c r="I9" i="124"/>
  <c r="I9" i="123"/>
  <c r="I6" i="123"/>
  <c r="B18" i="122"/>
  <c r="C17" i="122"/>
  <c r="I17" i="122" s="1"/>
  <c r="C16" i="122"/>
  <c r="I16" i="122" s="1"/>
  <c r="C15" i="122"/>
  <c r="C14" i="122"/>
  <c r="I14" i="122" s="1"/>
  <c r="C13" i="122"/>
  <c r="C12" i="122"/>
  <c r="I12" i="122" s="1"/>
  <c r="C11" i="122"/>
  <c r="I11" i="122" s="1"/>
  <c r="C10" i="122"/>
  <c r="I10" i="122" s="1"/>
  <c r="C9" i="122"/>
  <c r="I9" i="122" s="1"/>
  <c r="C8" i="122"/>
  <c r="I8" i="122" s="1"/>
  <c r="C7" i="122"/>
  <c r="I7" i="122" s="1"/>
  <c r="C6" i="122"/>
  <c r="I6" i="122" s="1"/>
  <c r="C5" i="122"/>
  <c r="D1" i="122" a="1"/>
  <c r="D1" i="122" s="1"/>
  <c r="C7" i="115"/>
  <c r="B18" i="120"/>
  <c r="C17" i="120"/>
  <c r="I17" i="120" s="1"/>
  <c r="C16" i="120"/>
  <c r="I16" i="120" s="1"/>
  <c r="C15" i="120"/>
  <c r="I15" i="120" s="1"/>
  <c r="C14" i="120"/>
  <c r="I14" i="120" s="1"/>
  <c r="C13" i="120"/>
  <c r="C12" i="120"/>
  <c r="I12" i="120" s="1"/>
  <c r="C11" i="120"/>
  <c r="I11" i="120" s="1"/>
  <c r="C10" i="120"/>
  <c r="I10" i="120" s="1"/>
  <c r="C9" i="120"/>
  <c r="I9" i="120" s="1"/>
  <c r="C8" i="120"/>
  <c r="I8" i="120" s="1"/>
  <c r="C7" i="120"/>
  <c r="I7" i="120" s="1"/>
  <c r="C6" i="120"/>
  <c r="I6" i="120" s="1"/>
  <c r="C5" i="120"/>
  <c r="D1" i="120" a="1"/>
  <c r="D1" i="120" s="1"/>
  <c r="B18" i="118"/>
  <c r="C17" i="118"/>
  <c r="I17" i="118" s="1"/>
  <c r="C16" i="118"/>
  <c r="I16" i="118" s="1"/>
  <c r="C15" i="118"/>
  <c r="C14" i="118"/>
  <c r="I14" i="118" s="1"/>
  <c r="C13" i="118"/>
  <c r="I13" i="118" s="1"/>
  <c r="C12" i="118"/>
  <c r="I12" i="118" s="1"/>
  <c r="C11" i="118"/>
  <c r="I11" i="118" s="1"/>
  <c r="C10" i="118"/>
  <c r="I10" i="118" s="1"/>
  <c r="C9" i="118"/>
  <c r="I9" i="118" s="1"/>
  <c r="C8" i="118"/>
  <c r="I8" i="118" s="1"/>
  <c r="C7" i="118"/>
  <c r="C6" i="118"/>
  <c r="I6" i="118" s="1"/>
  <c r="C5" i="118"/>
  <c r="D1" i="118" a="1"/>
  <c r="D1" i="118" s="1"/>
  <c r="B18" i="117"/>
  <c r="C17" i="117"/>
  <c r="I17" i="117" s="1"/>
  <c r="C16" i="117"/>
  <c r="I16" i="117" s="1"/>
  <c r="C15" i="117"/>
  <c r="I15" i="117" s="1"/>
  <c r="C14" i="117"/>
  <c r="I14" i="117" s="1"/>
  <c r="C13" i="117"/>
  <c r="I13" i="117" s="1"/>
  <c r="C12" i="117"/>
  <c r="I12" i="117" s="1"/>
  <c r="C11" i="117"/>
  <c r="I11" i="117" s="1"/>
  <c r="C10" i="117"/>
  <c r="I10" i="117" s="1"/>
  <c r="C9" i="117"/>
  <c r="C8" i="117"/>
  <c r="I8" i="117" s="1"/>
  <c r="C7" i="117"/>
  <c r="C6" i="117"/>
  <c r="I6" i="117" s="1"/>
  <c r="C5" i="117"/>
  <c r="I5" i="117" s="1"/>
  <c r="D1" i="117" a="1"/>
  <c r="D1" i="117" s="1"/>
  <c r="B18" i="116"/>
  <c r="C17" i="116"/>
  <c r="I17" i="116" s="1"/>
  <c r="C16" i="116"/>
  <c r="I16" i="116" s="1"/>
  <c r="C15" i="116"/>
  <c r="C14" i="116"/>
  <c r="I14" i="116" s="1"/>
  <c r="C13" i="116"/>
  <c r="I13" i="116" s="1"/>
  <c r="C12" i="116"/>
  <c r="I12" i="116" s="1"/>
  <c r="C11" i="116"/>
  <c r="I11" i="116" s="1"/>
  <c r="C10" i="116"/>
  <c r="I10" i="116" s="1"/>
  <c r="C9" i="116"/>
  <c r="I9" i="116" s="1"/>
  <c r="C8" i="116"/>
  <c r="I8" i="116" s="1"/>
  <c r="C7" i="116"/>
  <c r="C6" i="116"/>
  <c r="I6" i="116" s="1"/>
  <c r="C5" i="116"/>
  <c r="I5" i="116" s="1"/>
  <c r="D1" i="116" a="1"/>
  <c r="D1" i="116" s="1"/>
  <c r="B18" i="115"/>
  <c r="C17" i="115"/>
  <c r="I17" i="115" s="1"/>
  <c r="C16" i="115"/>
  <c r="I16" i="115" s="1"/>
  <c r="C15" i="115"/>
  <c r="C14" i="115"/>
  <c r="I14" i="115" s="1"/>
  <c r="C13" i="115"/>
  <c r="I13" i="115" s="1"/>
  <c r="C12" i="115"/>
  <c r="I12" i="115" s="1"/>
  <c r="C11" i="115"/>
  <c r="C10" i="115"/>
  <c r="I10" i="115" s="1"/>
  <c r="C9" i="115"/>
  <c r="I9" i="115" s="1"/>
  <c r="C8" i="115"/>
  <c r="I8" i="115" s="1"/>
  <c r="C6" i="115"/>
  <c r="I6" i="115" s="1"/>
  <c r="C5" i="115"/>
  <c r="I5" i="115" s="1"/>
  <c r="D1" i="115" a="1"/>
  <c r="D1" i="115" s="1"/>
  <c r="B18" i="114"/>
  <c r="C17" i="114"/>
  <c r="I17" i="114" s="1"/>
  <c r="C16" i="114"/>
  <c r="I16" i="114" s="1"/>
  <c r="C15" i="114"/>
  <c r="C14" i="114"/>
  <c r="I14" i="114" s="1"/>
  <c r="C13" i="114"/>
  <c r="I13" i="114" s="1"/>
  <c r="C12" i="114"/>
  <c r="I12" i="114" s="1"/>
  <c r="C11" i="114"/>
  <c r="C10" i="114"/>
  <c r="I10" i="114" s="1"/>
  <c r="C9" i="114"/>
  <c r="I9" i="114" s="1"/>
  <c r="C8" i="114"/>
  <c r="I8" i="114" s="1"/>
  <c r="C7" i="114"/>
  <c r="C6" i="114"/>
  <c r="I6" i="114" s="1"/>
  <c r="C5" i="114"/>
  <c r="I5" i="114" s="1"/>
  <c r="D1" i="114" a="1"/>
  <c r="D1" i="114" s="1"/>
  <c r="B18" i="113"/>
  <c r="C17" i="113"/>
  <c r="I17" i="113" s="1"/>
  <c r="C16" i="113"/>
  <c r="I16" i="113" s="1"/>
  <c r="C15" i="113"/>
  <c r="C14" i="113"/>
  <c r="I14" i="113" s="1"/>
  <c r="C13" i="113"/>
  <c r="I13" i="113" s="1"/>
  <c r="C12" i="113"/>
  <c r="I12" i="113" s="1"/>
  <c r="C11" i="113"/>
  <c r="I11" i="113" s="1"/>
  <c r="C10" i="113"/>
  <c r="I10" i="113" s="1"/>
  <c r="C9" i="113"/>
  <c r="I9" i="113" s="1"/>
  <c r="C8" i="113"/>
  <c r="I8" i="113" s="1"/>
  <c r="C7" i="113"/>
  <c r="I7" i="113" s="1"/>
  <c r="C6" i="113"/>
  <c r="I6" i="113" s="1"/>
  <c r="C5" i="113"/>
  <c r="I5" i="113" s="1"/>
  <c r="D1" i="113" a="1"/>
  <c r="D1" i="113" s="1"/>
  <c r="B18" i="112"/>
  <c r="C17" i="112"/>
  <c r="I17" i="112" s="1"/>
  <c r="C16" i="112"/>
  <c r="I16" i="112" s="1"/>
  <c r="C15" i="112"/>
  <c r="I15" i="112" s="1"/>
  <c r="C14" i="112"/>
  <c r="C13" i="112"/>
  <c r="I13" i="112" s="1"/>
  <c r="C12" i="112"/>
  <c r="I12" i="112" s="1"/>
  <c r="C11" i="112"/>
  <c r="I11" i="112" s="1"/>
  <c r="C10" i="112"/>
  <c r="I10" i="112" s="1"/>
  <c r="C9" i="112"/>
  <c r="I9" i="112" s="1"/>
  <c r="C8" i="112"/>
  <c r="I8" i="112" s="1"/>
  <c r="C7" i="112"/>
  <c r="C6" i="112"/>
  <c r="I6" i="112" s="1"/>
  <c r="C5" i="112"/>
  <c r="D1" i="112" a="1"/>
  <c r="D1" i="112" s="1"/>
  <c r="B18" i="111"/>
  <c r="C17" i="111"/>
  <c r="I17" i="111" s="1"/>
  <c r="C16" i="111"/>
  <c r="I16" i="111" s="1"/>
  <c r="C15" i="111"/>
  <c r="C14" i="111"/>
  <c r="I14" i="111" s="1"/>
  <c r="C13" i="111"/>
  <c r="I13" i="111" s="1"/>
  <c r="C12" i="111"/>
  <c r="I12" i="111" s="1"/>
  <c r="C11" i="111"/>
  <c r="I11" i="111" s="1"/>
  <c r="C10" i="111"/>
  <c r="C9" i="111"/>
  <c r="I9" i="111" s="1"/>
  <c r="C8" i="111"/>
  <c r="I8" i="111" s="1"/>
  <c r="C7" i="111"/>
  <c r="I7" i="111" s="1"/>
  <c r="C6" i="111"/>
  <c r="I6" i="111" s="1"/>
  <c r="C5" i="111"/>
  <c r="D1" i="111" a="1"/>
  <c r="D1" i="111" s="1"/>
  <c r="B18" i="110"/>
  <c r="C17" i="110"/>
  <c r="I17" i="110" s="1"/>
  <c r="C16" i="110"/>
  <c r="I16" i="110" s="1"/>
  <c r="C15" i="110"/>
  <c r="C14" i="110"/>
  <c r="I14" i="110" s="1"/>
  <c r="C13" i="110"/>
  <c r="C12" i="110"/>
  <c r="I12" i="110" s="1"/>
  <c r="C11" i="110"/>
  <c r="I11" i="110" s="1"/>
  <c r="C10" i="110"/>
  <c r="I10" i="110" s="1"/>
  <c r="C9" i="110"/>
  <c r="I9" i="110" s="1"/>
  <c r="C8" i="110"/>
  <c r="C7" i="110"/>
  <c r="C6" i="110"/>
  <c r="I6" i="110" s="1"/>
  <c r="C5" i="110"/>
  <c r="I5" i="110" s="1"/>
  <c r="D1" i="110" a="1"/>
  <c r="D1" i="110" s="1"/>
  <c r="B18" i="109"/>
  <c r="C17" i="109"/>
  <c r="I17" i="109" s="1"/>
  <c r="C16" i="109"/>
  <c r="C15" i="109"/>
  <c r="C14" i="109"/>
  <c r="I14" i="109" s="1"/>
  <c r="C13" i="109"/>
  <c r="C12" i="109"/>
  <c r="I12" i="109" s="1"/>
  <c r="C11" i="109"/>
  <c r="C10" i="109"/>
  <c r="I10" i="109" s="1"/>
  <c r="C9" i="109"/>
  <c r="I9" i="109" s="1"/>
  <c r="C8" i="109"/>
  <c r="I8" i="109" s="1"/>
  <c r="C7" i="109"/>
  <c r="I7" i="109" s="1"/>
  <c r="C6" i="109"/>
  <c r="I6" i="109" s="1"/>
  <c r="C5" i="109"/>
  <c r="I5" i="109" s="1"/>
  <c r="D1" i="109" a="1"/>
  <c r="D1" i="109" s="1"/>
  <c r="B18" i="108"/>
  <c r="C17" i="108"/>
  <c r="I17" i="108" s="1"/>
  <c r="C16" i="108"/>
  <c r="I16" i="108" s="1"/>
  <c r="C15" i="108"/>
  <c r="C14" i="108"/>
  <c r="I14" i="108" s="1"/>
  <c r="C13" i="108"/>
  <c r="I13" i="108" s="1"/>
  <c r="I12" i="108"/>
  <c r="C12" i="108"/>
  <c r="C11" i="108"/>
  <c r="I11" i="108" s="1"/>
  <c r="C10" i="108"/>
  <c r="I10" i="108" s="1"/>
  <c r="C9" i="108"/>
  <c r="C8" i="108"/>
  <c r="I8" i="108" s="1"/>
  <c r="C7" i="108"/>
  <c r="I7" i="108" s="1"/>
  <c r="C6" i="108"/>
  <c r="I6" i="108" s="1"/>
  <c r="C5" i="108"/>
  <c r="I5" i="108" s="1"/>
  <c r="D1" i="108" a="1"/>
  <c r="D1" i="108" s="1"/>
  <c r="B18" i="107"/>
  <c r="C17" i="107"/>
  <c r="I17" i="107" s="1"/>
  <c r="C16" i="107"/>
  <c r="I16" i="107" s="1"/>
  <c r="C15" i="107"/>
  <c r="C14" i="107"/>
  <c r="I14" i="107" s="1"/>
  <c r="C13" i="107"/>
  <c r="I13" i="107" s="1"/>
  <c r="C12" i="107"/>
  <c r="I12" i="107" s="1"/>
  <c r="C11" i="107"/>
  <c r="I11" i="107" s="1"/>
  <c r="C10" i="107"/>
  <c r="I10" i="107" s="1"/>
  <c r="C9" i="107"/>
  <c r="I9" i="107" s="1"/>
  <c r="C8" i="107"/>
  <c r="I8" i="107" s="1"/>
  <c r="C7" i="107"/>
  <c r="C6" i="107"/>
  <c r="I6" i="107" s="1"/>
  <c r="D1" i="107" a="1"/>
  <c r="D1" i="107" s="1"/>
  <c r="B18" i="106"/>
  <c r="C17" i="106"/>
  <c r="I17" i="106" s="1"/>
  <c r="C16" i="106"/>
  <c r="I16" i="106" s="1"/>
  <c r="C15" i="106"/>
  <c r="C14" i="106"/>
  <c r="C13" i="106"/>
  <c r="I13" i="106" s="1"/>
  <c r="C12" i="106"/>
  <c r="I12" i="106" s="1"/>
  <c r="C11" i="106"/>
  <c r="I11" i="106" s="1"/>
  <c r="C10" i="106"/>
  <c r="I10" i="106" s="1"/>
  <c r="C9" i="106"/>
  <c r="I9" i="106" s="1"/>
  <c r="C8" i="106"/>
  <c r="I8" i="106" s="1"/>
  <c r="I7" i="106"/>
  <c r="C7" i="106"/>
  <c r="C6" i="106"/>
  <c r="I6" i="106" s="1"/>
  <c r="C5" i="106"/>
  <c r="I5" i="106" s="1"/>
  <c r="D1" i="106" a="1"/>
  <c r="D1" i="106" s="1"/>
  <c r="B18" i="105"/>
  <c r="C17" i="105"/>
  <c r="I17" i="105" s="1"/>
  <c r="C16" i="105"/>
  <c r="I16" i="105" s="1"/>
  <c r="C15" i="105"/>
  <c r="C14" i="105"/>
  <c r="I14" i="105" s="1"/>
  <c r="C13" i="105"/>
  <c r="I13" i="105" s="1"/>
  <c r="C12" i="105"/>
  <c r="I12" i="105" s="1"/>
  <c r="C11" i="105"/>
  <c r="I11" i="105" s="1"/>
  <c r="C10" i="105"/>
  <c r="I10" i="105" s="1"/>
  <c r="C9" i="105"/>
  <c r="I9" i="105" s="1"/>
  <c r="C8" i="105"/>
  <c r="I8" i="105" s="1"/>
  <c r="C7" i="105"/>
  <c r="C6" i="105"/>
  <c r="C5" i="105"/>
  <c r="D1" i="105" a="1"/>
  <c r="D1" i="105" s="1"/>
  <c r="D1" i="104" a="1"/>
  <c r="D1" i="104" s="1"/>
  <c r="B18" i="104"/>
  <c r="C17" i="104"/>
  <c r="I17" i="104" s="1"/>
  <c r="C16" i="104"/>
  <c r="I16" i="104" s="1"/>
  <c r="C14" i="104"/>
  <c r="I14" i="104" s="1"/>
  <c r="C13" i="104"/>
  <c r="I13" i="104" s="1"/>
  <c r="C12" i="104"/>
  <c r="I12" i="104" s="1"/>
  <c r="C11" i="104"/>
  <c r="I11" i="104" s="1"/>
  <c r="C10" i="104"/>
  <c r="C9" i="104"/>
  <c r="I9" i="104" s="1"/>
  <c r="C8" i="104"/>
  <c r="I8" i="104" s="1"/>
  <c r="C7" i="104"/>
  <c r="C6" i="104"/>
  <c r="I6" i="104" s="1"/>
  <c r="C5" i="104"/>
  <c r="I5" i="104" s="1"/>
  <c r="B18" i="103"/>
  <c r="C17" i="103"/>
  <c r="I17" i="103" s="1"/>
  <c r="C16" i="103"/>
  <c r="I16" i="103" s="1"/>
  <c r="C15" i="103"/>
  <c r="C14" i="103"/>
  <c r="I14" i="103" s="1"/>
  <c r="C13" i="103"/>
  <c r="C12" i="103"/>
  <c r="I12" i="103" s="1"/>
  <c r="C11" i="103"/>
  <c r="I11" i="103" s="1"/>
  <c r="C10" i="103"/>
  <c r="I10" i="103" s="1"/>
  <c r="C9" i="103"/>
  <c r="I9" i="103" s="1"/>
  <c r="I8" i="103"/>
  <c r="C7" i="103"/>
  <c r="C6" i="103"/>
  <c r="I6" i="103" s="1"/>
  <c r="D1" i="103" a="1"/>
  <c r="D1" i="103" s="1"/>
  <c r="B18" i="102"/>
  <c r="C17" i="102"/>
  <c r="I17" i="102" s="1"/>
  <c r="C16" i="102"/>
  <c r="C15" i="102"/>
  <c r="C14" i="102"/>
  <c r="I14" i="102" s="1"/>
  <c r="C13" i="102"/>
  <c r="I13" i="102" s="1"/>
  <c r="C12" i="102"/>
  <c r="I12" i="102" s="1"/>
  <c r="C11" i="102"/>
  <c r="I11" i="102" s="1"/>
  <c r="C10" i="102"/>
  <c r="I10" i="102" s="1"/>
  <c r="C9" i="102"/>
  <c r="I9" i="102" s="1"/>
  <c r="C8" i="102"/>
  <c r="I8" i="102" s="1"/>
  <c r="C7" i="102"/>
  <c r="C6" i="102"/>
  <c r="I6" i="102" s="1"/>
  <c r="C5" i="102"/>
  <c r="I5" i="102" s="1"/>
  <c r="D1" i="102" a="1"/>
  <c r="D1" i="102" s="1"/>
  <c r="B18" i="101"/>
  <c r="C17" i="101"/>
  <c r="I17" i="101" s="1"/>
  <c r="C16" i="101"/>
  <c r="C15" i="101"/>
  <c r="I15" i="101" s="1"/>
  <c r="C14" i="101"/>
  <c r="I14" i="101" s="1"/>
  <c r="C13" i="101"/>
  <c r="I13" i="101" s="1"/>
  <c r="C12" i="101"/>
  <c r="I12" i="101" s="1"/>
  <c r="C11" i="101"/>
  <c r="C10" i="101"/>
  <c r="I10" i="101" s="1"/>
  <c r="C9" i="101"/>
  <c r="I9" i="101" s="1"/>
  <c r="C8" i="101"/>
  <c r="C7" i="101"/>
  <c r="I7" i="101" s="1"/>
  <c r="C6" i="101"/>
  <c r="I6" i="101" s="1"/>
  <c r="C5" i="101"/>
  <c r="I5" i="101" s="1"/>
  <c r="D1" i="101" a="1"/>
  <c r="D1" i="101" s="1"/>
  <c r="B18" i="100"/>
  <c r="C17" i="100"/>
  <c r="I17" i="100" s="1"/>
  <c r="C16" i="100"/>
  <c r="I16" i="100" s="1"/>
  <c r="C15" i="100"/>
  <c r="C14" i="100"/>
  <c r="I14" i="100" s="1"/>
  <c r="C13" i="100"/>
  <c r="I13" i="100" s="1"/>
  <c r="C12" i="100"/>
  <c r="I12" i="100" s="1"/>
  <c r="C11" i="100"/>
  <c r="I11" i="100" s="1"/>
  <c r="C10" i="100"/>
  <c r="I10" i="100" s="1"/>
  <c r="C9" i="100"/>
  <c r="I9" i="100" s="1"/>
  <c r="C8" i="100"/>
  <c r="I8" i="100" s="1"/>
  <c r="C7" i="100"/>
  <c r="C6" i="100"/>
  <c r="I6" i="100" s="1"/>
  <c r="C5" i="100"/>
  <c r="D1" i="100" a="1"/>
  <c r="D1" i="100" s="1"/>
  <c r="B18" i="99"/>
  <c r="C17" i="99"/>
  <c r="I17" i="99" s="1"/>
  <c r="C16" i="99"/>
  <c r="C15" i="99"/>
  <c r="C14" i="99"/>
  <c r="I14" i="99" s="1"/>
  <c r="C13" i="99"/>
  <c r="I13" i="99" s="1"/>
  <c r="C12" i="99"/>
  <c r="I12" i="99" s="1"/>
  <c r="C11" i="99"/>
  <c r="I11" i="99" s="1"/>
  <c r="C10" i="99"/>
  <c r="I10" i="99" s="1"/>
  <c r="C9" i="99"/>
  <c r="C8" i="99"/>
  <c r="I8" i="99" s="1"/>
  <c r="C7" i="99"/>
  <c r="I7" i="99" s="1"/>
  <c r="C6" i="99"/>
  <c r="I6" i="99" s="1"/>
  <c r="C5" i="99"/>
  <c r="D1" i="99" a="1"/>
  <c r="D1" i="99" s="1"/>
  <c r="B18" i="98"/>
  <c r="C17" i="98"/>
  <c r="I17" i="98" s="1"/>
  <c r="C16" i="98"/>
  <c r="I16" i="98" s="1"/>
  <c r="C15" i="98"/>
  <c r="C14" i="98"/>
  <c r="I14" i="98" s="1"/>
  <c r="C13" i="98"/>
  <c r="I13" i="98" s="1"/>
  <c r="C12" i="98"/>
  <c r="I12" i="98" s="1"/>
  <c r="C11" i="98"/>
  <c r="I11" i="98" s="1"/>
  <c r="C10" i="98"/>
  <c r="C9" i="98"/>
  <c r="I9" i="98" s="1"/>
  <c r="C8" i="98"/>
  <c r="I8" i="98" s="1"/>
  <c r="C7" i="98"/>
  <c r="C6" i="98"/>
  <c r="I6" i="98" s="1"/>
  <c r="C5" i="98"/>
  <c r="I5" i="98" s="1"/>
  <c r="D1" i="98" a="1"/>
  <c r="D1" i="98" s="1"/>
  <c r="B18" i="97"/>
  <c r="C17" i="97"/>
  <c r="I17" i="97" s="1"/>
  <c r="C16" i="97"/>
  <c r="I16" i="97" s="1"/>
  <c r="C15" i="97"/>
  <c r="I15" i="97" s="1"/>
  <c r="C14" i="97"/>
  <c r="I14" i="97" s="1"/>
  <c r="I13" i="97"/>
  <c r="C13" i="97"/>
  <c r="C12" i="97"/>
  <c r="I12" i="97" s="1"/>
  <c r="C11" i="97"/>
  <c r="I11" i="97" s="1"/>
  <c r="C10" i="97"/>
  <c r="I10" i="97" s="1"/>
  <c r="C9" i="97"/>
  <c r="I9" i="97" s="1"/>
  <c r="C8" i="97"/>
  <c r="I8" i="97" s="1"/>
  <c r="C7" i="97"/>
  <c r="I7" i="97" s="1"/>
  <c r="C6" i="97"/>
  <c r="I6" i="97" s="1"/>
  <c r="C5" i="97"/>
  <c r="I5" i="97" s="1"/>
  <c r="D1" i="97" a="1"/>
  <c r="D1" i="97" s="1"/>
  <c r="B18" i="96"/>
  <c r="C17" i="96"/>
  <c r="I17" i="96" s="1"/>
  <c r="C16" i="96"/>
  <c r="I16" i="96" s="1"/>
  <c r="I15" i="96"/>
  <c r="C15" i="96"/>
  <c r="C14" i="96"/>
  <c r="I14" i="96" s="1"/>
  <c r="C13" i="96"/>
  <c r="I13" i="96" s="1"/>
  <c r="C12" i="96"/>
  <c r="I12" i="96" s="1"/>
  <c r="C11" i="96"/>
  <c r="I11" i="96" s="1"/>
  <c r="C10" i="96"/>
  <c r="I10" i="96" s="1"/>
  <c r="C9" i="96"/>
  <c r="I9" i="96" s="1"/>
  <c r="I8" i="96"/>
  <c r="C8" i="96"/>
  <c r="C7" i="96"/>
  <c r="I7" i="96" s="1"/>
  <c r="C6" i="96"/>
  <c r="I6" i="96" s="1"/>
  <c r="C5" i="96"/>
  <c r="I5" i="96" s="1"/>
  <c r="D1" i="96" a="1"/>
  <c r="D1" i="96" s="1"/>
  <c r="B18" i="95"/>
  <c r="C17" i="95"/>
  <c r="I17" i="95" s="1"/>
  <c r="C16" i="95"/>
  <c r="I16" i="95" s="1"/>
  <c r="C15" i="95"/>
  <c r="I15" i="95" s="1"/>
  <c r="C14" i="95"/>
  <c r="I14" i="95" s="1"/>
  <c r="C13" i="95"/>
  <c r="I13" i="95" s="1"/>
  <c r="I12" i="95"/>
  <c r="C12" i="95"/>
  <c r="I11" i="95"/>
  <c r="C11" i="95"/>
  <c r="I10" i="95"/>
  <c r="C10" i="95"/>
  <c r="C9" i="95"/>
  <c r="I9" i="95" s="1"/>
  <c r="C8" i="95"/>
  <c r="I8" i="95" s="1"/>
  <c r="C7" i="95"/>
  <c r="I7" i="95" s="1"/>
  <c r="C6" i="95"/>
  <c r="I6" i="95" s="1"/>
  <c r="C5" i="95"/>
  <c r="I5" i="95" s="1"/>
  <c r="D1" i="95" a="1"/>
  <c r="D1" i="95" s="1"/>
  <c r="B18" i="94"/>
  <c r="C17" i="94"/>
  <c r="I17" i="94" s="1"/>
  <c r="C16" i="94"/>
  <c r="I16" i="94" s="1"/>
  <c r="C15" i="94"/>
  <c r="I15" i="94" s="1"/>
  <c r="C14" i="94"/>
  <c r="I14" i="94" s="1"/>
  <c r="C13" i="94"/>
  <c r="I13" i="94" s="1"/>
  <c r="C12" i="94"/>
  <c r="I12" i="94" s="1"/>
  <c r="I11" i="94"/>
  <c r="C11" i="94"/>
  <c r="C10" i="94"/>
  <c r="I10" i="94" s="1"/>
  <c r="C9" i="94"/>
  <c r="I9" i="94" s="1"/>
  <c r="I8" i="94"/>
  <c r="C8" i="94"/>
  <c r="C7" i="94"/>
  <c r="I7" i="94" s="1"/>
  <c r="C6" i="94"/>
  <c r="I6" i="94" s="1"/>
  <c r="C5" i="94"/>
  <c r="I5" i="94" s="1"/>
  <c r="D1" i="94" a="1"/>
  <c r="D1" i="94" s="1"/>
  <c r="B18" i="93"/>
  <c r="C17" i="93"/>
  <c r="I17" i="93" s="1"/>
  <c r="C16" i="93"/>
  <c r="I16" i="93" s="1"/>
  <c r="C15" i="93"/>
  <c r="C14" i="93"/>
  <c r="I14" i="93" s="1"/>
  <c r="C13" i="93"/>
  <c r="I13" i="93" s="1"/>
  <c r="C12" i="93"/>
  <c r="I12" i="93" s="1"/>
  <c r="C11" i="93"/>
  <c r="I11" i="93" s="1"/>
  <c r="C10" i="93"/>
  <c r="I10" i="93" s="1"/>
  <c r="C9" i="93"/>
  <c r="I9" i="93" s="1"/>
  <c r="C8" i="93"/>
  <c r="I8" i="93" s="1"/>
  <c r="C7" i="93"/>
  <c r="C6" i="93"/>
  <c r="I6" i="93" s="1"/>
  <c r="C5" i="93"/>
  <c r="I5" i="93" s="1"/>
  <c r="D1" i="93" a="1"/>
  <c r="D1" i="93" s="1"/>
  <c r="B18" i="92"/>
  <c r="C17" i="92"/>
  <c r="I17" i="92" s="1"/>
  <c r="C16" i="92"/>
  <c r="I16" i="92" s="1"/>
  <c r="C15" i="92"/>
  <c r="C14" i="92"/>
  <c r="I14" i="92" s="1"/>
  <c r="C13" i="92"/>
  <c r="C12" i="92"/>
  <c r="I12" i="92" s="1"/>
  <c r="C11" i="92"/>
  <c r="C10" i="92"/>
  <c r="I10" i="92" s="1"/>
  <c r="C9" i="92"/>
  <c r="I9" i="92" s="1"/>
  <c r="C8" i="92"/>
  <c r="I8" i="92" s="1"/>
  <c r="C7" i="92"/>
  <c r="C6" i="92"/>
  <c r="I6" i="92" s="1"/>
  <c r="C5" i="92"/>
  <c r="D1" i="92" a="1"/>
  <c r="D1" i="92" s="1"/>
  <c r="B18" i="91"/>
  <c r="C17" i="91"/>
  <c r="I17" i="91" s="1"/>
  <c r="C16" i="91"/>
  <c r="I16" i="91" s="1"/>
  <c r="C15" i="91"/>
  <c r="C14" i="91"/>
  <c r="C13" i="91"/>
  <c r="C12" i="91"/>
  <c r="I12" i="91" s="1"/>
  <c r="C11" i="91"/>
  <c r="I11" i="91" s="1"/>
  <c r="C10" i="91"/>
  <c r="I10" i="91" s="1"/>
  <c r="C9" i="91"/>
  <c r="I9" i="91" s="1"/>
  <c r="C8" i="91"/>
  <c r="I8" i="91" s="1"/>
  <c r="C7" i="91"/>
  <c r="C6" i="91"/>
  <c r="C5" i="91"/>
  <c r="D1" i="91" a="1"/>
  <c r="D1" i="91" s="1"/>
  <c r="B18" i="90"/>
  <c r="C17" i="90"/>
  <c r="I17" i="90" s="1"/>
  <c r="C16" i="90"/>
  <c r="I16" i="90" s="1"/>
  <c r="C15" i="90"/>
  <c r="I15" i="90" s="1"/>
  <c r="C14" i="90"/>
  <c r="I14" i="90" s="1"/>
  <c r="I13" i="90"/>
  <c r="C13" i="90"/>
  <c r="C12" i="90"/>
  <c r="I12" i="90" s="1"/>
  <c r="C11" i="90"/>
  <c r="I11" i="90" s="1"/>
  <c r="C10" i="90"/>
  <c r="I10" i="90" s="1"/>
  <c r="C9" i="90"/>
  <c r="I9" i="90" s="1"/>
  <c r="C8" i="90"/>
  <c r="I8" i="90" s="1"/>
  <c r="C7" i="90"/>
  <c r="C6" i="90"/>
  <c r="I6" i="90" s="1"/>
  <c r="C5" i="90"/>
  <c r="I5" i="90" s="1"/>
  <c r="D1" i="90" a="1"/>
  <c r="D1" i="90" s="1"/>
  <c r="B18" i="89"/>
  <c r="C17" i="89"/>
  <c r="I17" i="89" s="1"/>
  <c r="C16" i="89"/>
  <c r="I16" i="89" s="1"/>
  <c r="C15" i="89"/>
  <c r="C14" i="89"/>
  <c r="I14" i="89" s="1"/>
  <c r="C13" i="89"/>
  <c r="I13" i="89" s="1"/>
  <c r="C12" i="89"/>
  <c r="I12" i="89" s="1"/>
  <c r="C11" i="89"/>
  <c r="C10" i="89"/>
  <c r="I10" i="89" s="1"/>
  <c r="C9" i="89"/>
  <c r="C8" i="89"/>
  <c r="I8" i="89" s="1"/>
  <c r="C7" i="89"/>
  <c r="I7" i="89" s="1"/>
  <c r="C6" i="89"/>
  <c r="I6" i="89" s="1"/>
  <c r="C5" i="89"/>
  <c r="I5" i="89" s="1"/>
  <c r="D1" i="89" a="1"/>
  <c r="D1" i="89" s="1"/>
  <c r="B18" i="88"/>
  <c r="C17" i="88"/>
  <c r="I17" i="88" s="1"/>
  <c r="C16" i="88"/>
  <c r="I16" i="88" s="1"/>
  <c r="C15" i="88"/>
  <c r="C14" i="88"/>
  <c r="I14" i="88" s="1"/>
  <c r="C13" i="88"/>
  <c r="I13" i="88" s="1"/>
  <c r="C12" i="88"/>
  <c r="I12" i="88" s="1"/>
  <c r="C11" i="88"/>
  <c r="I11" i="88" s="1"/>
  <c r="C10" i="88"/>
  <c r="I10" i="88" s="1"/>
  <c r="C9" i="88"/>
  <c r="I9" i="88" s="1"/>
  <c r="C8" i="88"/>
  <c r="I8" i="88" s="1"/>
  <c r="C7" i="88"/>
  <c r="I7" i="88" s="1"/>
  <c r="C6" i="88"/>
  <c r="I6" i="88" s="1"/>
  <c r="C5" i="88"/>
  <c r="I5" i="88" s="1"/>
  <c r="D1" i="88" a="1"/>
  <c r="D1" i="88" s="1"/>
  <c r="B18" i="87"/>
  <c r="C17" i="87"/>
  <c r="I17" i="87" s="1"/>
  <c r="C16" i="87"/>
  <c r="I16" i="87" s="1"/>
  <c r="C15" i="87"/>
  <c r="C14" i="87"/>
  <c r="I14" i="87" s="1"/>
  <c r="C13" i="87"/>
  <c r="I13" i="87" s="1"/>
  <c r="C12" i="87"/>
  <c r="I12" i="87" s="1"/>
  <c r="C11" i="87"/>
  <c r="I11" i="87" s="1"/>
  <c r="C10" i="87"/>
  <c r="I10" i="87" s="1"/>
  <c r="C9" i="87"/>
  <c r="I9" i="87" s="1"/>
  <c r="C8" i="87"/>
  <c r="I8" i="87" s="1"/>
  <c r="C7" i="87"/>
  <c r="C6" i="87"/>
  <c r="I6" i="87" s="1"/>
  <c r="C5" i="87"/>
  <c r="I5" i="87" s="1"/>
  <c r="D1" i="87" a="1"/>
  <c r="D1" i="87" s="1"/>
  <c r="B18" i="86"/>
  <c r="C17" i="86"/>
  <c r="I17" i="86" s="1"/>
  <c r="C16" i="86"/>
  <c r="I16" i="86" s="1"/>
  <c r="C15" i="86"/>
  <c r="C14" i="86"/>
  <c r="I14" i="86" s="1"/>
  <c r="C13" i="86"/>
  <c r="I13" i="86" s="1"/>
  <c r="C12" i="86"/>
  <c r="I12" i="86" s="1"/>
  <c r="C11" i="86"/>
  <c r="I11" i="86" s="1"/>
  <c r="C10" i="86"/>
  <c r="I10" i="86" s="1"/>
  <c r="C9" i="86"/>
  <c r="I9" i="86" s="1"/>
  <c r="C8" i="86"/>
  <c r="I8" i="86" s="1"/>
  <c r="C7" i="86"/>
  <c r="I7" i="86" s="1"/>
  <c r="C6" i="86"/>
  <c r="I6" i="86" s="1"/>
  <c r="C5" i="86"/>
  <c r="I5" i="86" s="1"/>
  <c r="D1" i="86" a="1"/>
  <c r="D1" i="86" s="1"/>
  <c r="B18" i="85"/>
  <c r="C17" i="85"/>
  <c r="I17" i="85" s="1"/>
  <c r="C16" i="85"/>
  <c r="C15" i="85"/>
  <c r="C14" i="85"/>
  <c r="I14" i="85" s="1"/>
  <c r="C13" i="85"/>
  <c r="I13" i="85" s="1"/>
  <c r="C12" i="85"/>
  <c r="I12" i="85" s="1"/>
  <c r="C11" i="85"/>
  <c r="I11" i="85" s="1"/>
  <c r="C10" i="85"/>
  <c r="C9" i="85"/>
  <c r="I9" i="85" s="1"/>
  <c r="C8" i="85"/>
  <c r="C7" i="85"/>
  <c r="I7" i="85" s="1"/>
  <c r="C6" i="85"/>
  <c r="I6" i="85" s="1"/>
  <c r="C5" i="85"/>
  <c r="I5" i="85" s="1"/>
  <c r="B18" i="84"/>
  <c r="C17" i="84"/>
  <c r="I17" i="84" s="1"/>
  <c r="C16" i="84"/>
  <c r="I16" i="84" s="1"/>
  <c r="C15" i="84"/>
  <c r="C14" i="84"/>
  <c r="C13" i="84"/>
  <c r="I13" i="84" s="1"/>
  <c r="C12" i="84"/>
  <c r="I12" i="84" s="1"/>
  <c r="C11" i="84"/>
  <c r="I11" i="84" s="1"/>
  <c r="C10" i="84"/>
  <c r="I10" i="84" s="1"/>
  <c r="C9" i="84"/>
  <c r="C8" i="84"/>
  <c r="I8" i="84" s="1"/>
  <c r="C7" i="84"/>
  <c r="C6" i="84"/>
  <c r="I6" i="84" s="1"/>
  <c r="C5" i="84"/>
  <c r="D1" i="84" a="1"/>
  <c r="D1" i="84" s="1"/>
  <c r="J11" i="125" l="1"/>
  <c r="J5" i="125"/>
  <c r="J9" i="125"/>
  <c r="J15" i="125"/>
  <c r="J14" i="125"/>
  <c r="J13" i="125"/>
  <c r="J6" i="125"/>
  <c r="J8" i="125"/>
  <c r="J16" i="125"/>
  <c r="J10" i="125"/>
  <c r="J7" i="125"/>
  <c r="J17" i="125"/>
  <c r="I20" i="124"/>
  <c r="I20" i="123"/>
  <c r="I5" i="122"/>
  <c r="I13" i="122"/>
  <c r="I15" i="122"/>
  <c r="I5" i="120"/>
  <c r="I13" i="120"/>
  <c r="I5" i="118"/>
  <c r="I15" i="118"/>
  <c r="I7" i="118"/>
  <c r="I9" i="117"/>
  <c r="I20" i="117" s="1"/>
  <c r="J10" i="117" s="1"/>
  <c r="I7" i="117"/>
  <c r="I15" i="116"/>
  <c r="I7" i="116"/>
  <c r="I7" i="115"/>
  <c r="I11" i="115"/>
  <c r="I15" i="115"/>
  <c r="I11" i="114"/>
  <c r="I15" i="114"/>
  <c r="I7" i="114"/>
  <c r="I15" i="113"/>
  <c r="I14" i="112"/>
  <c r="I7" i="112"/>
  <c r="I5" i="112"/>
  <c r="I10" i="111"/>
  <c r="I15" i="111"/>
  <c r="I5" i="111"/>
  <c r="I8" i="110"/>
  <c r="I13" i="110"/>
  <c r="I15" i="110"/>
  <c r="I7" i="110"/>
  <c r="I13" i="109"/>
  <c r="I11" i="109"/>
  <c r="I15" i="109"/>
  <c r="I16" i="109"/>
  <c r="I15" i="108"/>
  <c r="I9" i="108"/>
  <c r="I15" i="107"/>
  <c r="I7" i="107"/>
  <c r="I14" i="106"/>
  <c r="I15" i="106"/>
  <c r="I5" i="105"/>
  <c r="I6" i="105"/>
  <c r="I15" i="105"/>
  <c r="I7" i="105"/>
  <c r="I15" i="104"/>
  <c r="I10" i="104"/>
  <c r="I7" i="104"/>
  <c r="I5" i="103"/>
  <c r="I13" i="103"/>
  <c r="I7" i="103"/>
  <c r="I15" i="103"/>
  <c r="I15" i="102"/>
  <c r="I7" i="102"/>
  <c r="I16" i="102"/>
  <c r="I11" i="101"/>
  <c r="I8" i="101"/>
  <c r="I16" i="101"/>
  <c r="I5" i="100"/>
  <c r="I7" i="100"/>
  <c r="I15" i="100"/>
  <c r="I5" i="99"/>
  <c r="I16" i="99"/>
  <c r="I15" i="99"/>
  <c r="I9" i="99"/>
  <c r="I10" i="98"/>
  <c r="I15" i="98"/>
  <c r="I7" i="98"/>
  <c r="I20" i="97"/>
  <c r="J11" i="97" s="1"/>
  <c r="I20" i="96"/>
  <c r="J11" i="96" s="1"/>
  <c r="I20" i="95"/>
  <c r="J10" i="95" s="1"/>
  <c r="I20" i="94"/>
  <c r="J8" i="94" s="1"/>
  <c r="I7" i="93"/>
  <c r="I15" i="93"/>
  <c r="I7" i="92"/>
  <c r="I15" i="92"/>
  <c r="I5" i="92"/>
  <c r="I13" i="92"/>
  <c r="I11" i="92"/>
  <c r="I5" i="91"/>
  <c r="I13" i="91"/>
  <c r="I6" i="91"/>
  <c r="I14" i="91"/>
  <c r="I15" i="91"/>
  <c r="I7" i="91"/>
  <c r="I7" i="90"/>
  <c r="I20" i="90" s="1"/>
  <c r="J10" i="90" s="1"/>
  <c r="I15" i="89"/>
  <c r="I9" i="89"/>
  <c r="I11" i="89"/>
  <c r="I15" i="88"/>
  <c r="I7" i="87"/>
  <c r="I15" i="87"/>
  <c r="I15" i="86"/>
  <c r="I16" i="85"/>
  <c r="I15" i="85"/>
  <c r="I8" i="85"/>
  <c r="I10" i="85"/>
  <c r="I15" i="84"/>
  <c r="I5" i="84"/>
  <c r="I14" i="84"/>
  <c r="I7" i="84"/>
  <c r="I9" i="84"/>
  <c r="I20" i="104" l="1"/>
  <c r="J10" i="104" s="1"/>
  <c r="I20" i="105"/>
  <c r="J10" i="105" s="1"/>
  <c r="I20" i="112"/>
  <c r="J10" i="112" s="1"/>
  <c r="I20" i="115"/>
  <c r="J9" i="115" s="1"/>
  <c r="I20" i="102"/>
  <c r="J12" i="102" s="1"/>
  <c r="I20" i="93"/>
  <c r="J10" i="93" s="1"/>
  <c r="I20" i="106"/>
  <c r="J17" i="106" s="1"/>
  <c r="I20" i="111"/>
  <c r="J10" i="111" s="1"/>
  <c r="I20" i="113"/>
  <c r="J17" i="113" s="1"/>
  <c r="I20" i="86"/>
  <c r="I20" i="116"/>
  <c r="J10" i="116" s="1"/>
  <c r="I20" i="88"/>
  <c r="J11" i="88" s="1"/>
  <c r="I20" i="100"/>
  <c r="J8" i="100" s="1"/>
  <c r="K12" i="129"/>
  <c r="J10" i="124"/>
  <c r="J14" i="124"/>
  <c r="J11" i="124"/>
  <c r="J5" i="124"/>
  <c r="J15" i="124"/>
  <c r="J17" i="124"/>
  <c r="J16" i="124"/>
  <c r="J12" i="124"/>
  <c r="J7" i="124"/>
  <c r="J6" i="124"/>
  <c r="J13" i="124"/>
  <c r="J8" i="124"/>
  <c r="J9" i="124"/>
  <c r="J12" i="123"/>
  <c r="J7" i="123"/>
  <c r="J13" i="123"/>
  <c r="J11" i="123"/>
  <c r="J15" i="123"/>
  <c r="J5" i="123"/>
  <c r="J10" i="123"/>
  <c r="J14" i="123"/>
  <c r="J8" i="123"/>
  <c r="J16" i="123"/>
  <c r="J17" i="123"/>
  <c r="J6" i="123"/>
  <c r="J9" i="123"/>
  <c r="I20" i="118"/>
  <c r="J10" i="118" s="1"/>
  <c r="I20" i="122"/>
  <c r="J13" i="122" s="1"/>
  <c r="I20" i="120"/>
  <c r="J5" i="120" s="1"/>
  <c r="J7" i="117"/>
  <c r="J11" i="117"/>
  <c r="J13" i="117"/>
  <c r="J14" i="117"/>
  <c r="J16" i="117"/>
  <c r="J5" i="117"/>
  <c r="J12" i="117"/>
  <c r="J8" i="117"/>
  <c r="J15" i="117"/>
  <c r="J17" i="117"/>
  <c r="J9" i="117"/>
  <c r="J6" i="117"/>
  <c r="J11" i="115"/>
  <c r="J7" i="115"/>
  <c r="J13" i="115"/>
  <c r="J8" i="115"/>
  <c r="I20" i="114"/>
  <c r="J5" i="114" s="1"/>
  <c r="J12" i="112"/>
  <c r="J8" i="112"/>
  <c r="J6" i="112"/>
  <c r="J8" i="111"/>
  <c r="J12" i="111"/>
  <c r="I20" i="110"/>
  <c r="J8" i="110" s="1"/>
  <c r="J14" i="110"/>
  <c r="I20" i="109"/>
  <c r="J11" i="109" s="1"/>
  <c r="I20" i="108"/>
  <c r="J9" i="108" s="1"/>
  <c r="I20" i="107"/>
  <c r="J11" i="107" s="1"/>
  <c r="J8" i="106"/>
  <c r="J13" i="106"/>
  <c r="J11" i="106"/>
  <c r="J7" i="106"/>
  <c r="J10" i="106"/>
  <c r="J5" i="105"/>
  <c r="J15" i="105"/>
  <c r="J6" i="105"/>
  <c r="J17" i="105"/>
  <c r="J16" i="105"/>
  <c r="J13" i="105"/>
  <c r="J11" i="105"/>
  <c r="J9" i="105"/>
  <c r="J14" i="105"/>
  <c r="J7" i="105"/>
  <c r="J8" i="105"/>
  <c r="J12" i="105"/>
  <c r="J11" i="104"/>
  <c r="J15" i="104"/>
  <c r="J12" i="104"/>
  <c r="J8" i="104"/>
  <c r="J9" i="104"/>
  <c r="J17" i="104"/>
  <c r="J7" i="104"/>
  <c r="J6" i="104"/>
  <c r="J13" i="104"/>
  <c r="J16" i="104"/>
  <c r="J14" i="104"/>
  <c r="J5" i="104"/>
  <c r="I20" i="103"/>
  <c r="J7" i="102"/>
  <c r="I20" i="101"/>
  <c r="J13" i="101" s="1"/>
  <c r="I20" i="99"/>
  <c r="I20" i="98"/>
  <c r="J10" i="98" s="1"/>
  <c r="J16" i="98"/>
  <c r="J5" i="98"/>
  <c r="J12" i="97"/>
  <c r="J9" i="97"/>
  <c r="J17" i="97"/>
  <c r="J8" i="97"/>
  <c r="J14" i="97"/>
  <c r="J15" i="97"/>
  <c r="J10" i="97"/>
  <c r="J16" i="97"/>
  <c r="J13" i="97"/>
  <c r="J7" i="97"/>
  <c r="J6" i="97"/>
  <c r="J5" i="97"/>
  <c r="J16" i="96"/>
  <c r="J10" i="96"/>
  <c r="J14" i="96"/>
  <c r="J7" i="96"/>
  <c r="J15" i="96"/>
  <c r="J12" i="96"/>
  <c r="J5" i="96"/>
  <c r="J17" i="96"/>
  <c r="J13" i="96"/>
  <c r="J9" i="96"/>
  <c r="J8" i="96"/>
  <c r="J6" i="96"/>
  <c r="J17" i="95"/>
  <c r="J8" i="95"/>
  <c r="J15" i="95"/>
  <c r="J11" i="95"/>
  <c r="J12" i="95"/>
  <c r="J7" i="95"/>
  <c r="J5" i="95"/>
  <c r="J14" i="95"/>
  <c r="J9" i="95"/>
  <c r="J6" i="95"/>
  <c r="J16" i="95"/>
  <c r="J13" i="95"/>
  <c r="J17" i="94"/>
  <c r="J6" i="94"/>
  <c r="J9" i="94"/>
  <c r="J15" i="94"/>
  <c r="J12" i="94"/>
  <c r="J7" i="94"/>
  <c r="J14" i="94"/>
  <c r="J11" i="94"/>
  <c r="J13" i="94"/>
  <c r="J10" i="94"/>
  <c r="J16" i="94"/>
  <c r="J5" i="94"/>
  <c r="J11" i="93"/>
  <c r="J15" i="93"/>
  <c r="J7" i="93"/>
  <c r="J17" i="93"/>
  <c r="J13" i="93"/>
  <c r="J12" i="93"/>
  <c r="I20" i="92"/>
  <c r="J7" i="92" s="1"/>
  <c r="I20" i="91"/>
  <c r="J10" i="91" s="1"/>
  <c r="J6" i="91"/>
  <c r="J8" i="90"/>
  <c r="J15" i="90"/>
  <c r="J14" i="90"/>
  <c r="J16" i="90"/>
  <c r="J9" i="90"/>
  <c r="J6" i="90"/>
  <c r="J17" i="90"/>
  <c r="J5" i="90"/>
  <c r="J13" i="90"/>
  <c r="J11" i="90"/>
  <c r="J7" i="90"/>
  <c r="J12" i="90"/>
  <c r="I20" i="89"/>
  <c r="J6" i="88"/>
  <c r="J5" i="88"/>
  <c r="I20" i="87"/>
  <c r="J11" i="87" s="1"/>
  <c r="J15" i="86"/>
  <c r="J11" i="86"/>
  <c r="J9" i="86"/>
  <c r="J6" i="86"/>
  <c r="J12" i="86"/>
  <c r="J8" i="86"/>
  <c r="J17" i="86"/>
  <c r="J10" i="86"/>
  <c r="J7" i="86"/>
  <c r="J16" i="86"/>
  <c r="J5" i="86"/>
  <c r="J14" i="86"/>
  <c r="J13" i="86"/>
  <c r="I20" i="85"/>
  <c r="J10" i="85" s="1"/>
  <c r="I20" i="84"/>
  <c r="J14" i="84" s="1"/>
  <c r="B18" i="83"/>
  <c r="C17" i="83"/>
  <c r="I17" i="83" s="1"/>
  <c r="C16" i="83"/>
  <c r="I16" i="83" s="1"/>
  <c r="C15" i="83"/>
  <c r="I15" i="83" s="1"/>
  <c r="C14" i="83"/>
  <c r="I14" i="83" s="1"/>
  <c r="C13" i="83"/>
  <c r="I13" i="83" s="1"/>
  <c r="I12" i="83"/>
  <c r="C12" i="83"/>
  <c r="C11" i="83"/>
  <c r="I11" i="83" s="1"/>
  <c r="C10" i="83"/>
  <c r="I10" i="83" s="1"/>
  <c r="C9" i="83"/>
  <c r="I9" i="83" s="1"/>
  <c r="C8" i="83"/>
  <c r="I8" i="83" s="1"/>
  <c r="C7" i="83"/>
  <c r="I7" i="83" s="1"/>
  <c r="C6" i="83"/>
  <c r="I6" i="83" s="1"/>
  <c r="C5" i="83"/>
  <c r="I5" i="83" s="1"/>
  <c r="D1" i="83" a="1"/>
  <c r="D1" i="83" s="1"/>
  <c r="C5" i="82"/>
  <c r="I5" i="82" s="1"/>
  <c r="C6" i="82"/>
  <c r="C7" i="82"/>
  <c r="C8" i="82"/>
  <c r="C9" i="82"/>
  <c r="C10" i="82"/>
  <c r="C11" i="82"/>
  <c r="I11" i="82" s="1"/>
  <c r="C12" i="82"/>
  <c r="I12" i="82" s="1"/>
  <c r="C13" i="82"/>
  <c r="C14" i="82"/>
  <c r="I14" i="82" s="1"/>
  <c r="C15" i="82"/>
  <c r="I15" i="82" s="1"/>
  <c r="C16" i="82"/>
  <c r="C17" i="82"/>
  <c r="I17" i="82" s="1"/>
  <c r="I16" i="82"/>
  <c r="I7" i="82"/>
  <c r="I8" i="82"/>
  <c r="B18" i="82"/>
  <c r="J13" i="88" l="1"/>
  <c r="J17" i="88"/>
  <c r="J16" i="88"/>
  <c r="J10" i="88"/>
  <c r="K10" i="88" s="1"/>
  <c r="J7" i="88"/>
  <c r="K7" i="88" s="1"/>
  <c r="J13" i="112"/>
  <c r="K13" i="112" s="1"/>
  <c r="J17" i="112"/>
  <c r="K17" i="112" s="1"/>
  <c r="J9" i="112"/>
  <c r="K9" i="112" s="1"/>
  <c r="J11" i="112"/>
  <c r="K11" i="112" s="1"/>
  <c r="J5" i="112"/>
  <c r="K5" i="112" s="1"/>
  <c r="J16" i="112"/>
  <c r="J15" i="112"/>
  <c r="J14" i="112"/>
  <c r="K14" i="112" s="1"/>
  <c r="J7" i="112"/>
  <c r="K7" i="112" s="1"/>
  <c r="J7" i="100"/>
  <c r="J15" i="100"/>
  <c r="J14" i="100"/>
  <c r="J5" i="100"/>
  <c r="J12" i="100"/>
  <c r="K12" i="100" s="1"/>
  <c r="J16" i="100"/>
  <c r="K16" i="100" s="1"/>
  <c r="J11" i="100"/>
  <c r="K11" i="100" s="1"/>
  <c r="J6" i="100"/>
  <c r="K6" i="100" s="1"/>
  <c r="J17" i="100"/>
  <c r="K17" i="100" s="1"/>
  <c r="J9" i="100"/>
  <c r="K9" i="100" s="1"/>
  <c r="J10" i="100"/>
  <c r="K10" i="100" s="1"/>
  <c r="J13" i="100"/>
  <c r="K13" i="100" s="1"/>
  <c r="J15" i="115"/>
  <c r="J5" i="115"/>
  <c r="J12" i="115"/>
  <c r="J17" i="115"/>
  <c r="J16" i="115"/>
  <c r="K16" i="115" s="1"/>
  <c r="J6" i="115"/>
  <c r="J10" i="115"/>
  <c r="K10" i="115" s="1"/>
  <c r="J14" i="115"/>
  <c r="K14" i="115" s="1"/>
  <c r="J5" i="102"/>
  <c r="J14" i="102"/>
  <c r="J13" i="102"/>
  <c r="J6" i="102"/>
  <c r="K6" i="102" s="1"/>
  <c r="J17" i="102"/>
  <c r="K17" i="102" s="1"/>
  <c r="J15" i="102"/>
  <c r="J11" i="102"/>
  <c r="K11" i="102" s="1"/>
  <c r="J9" i="102"/>
  <c r="K9" i="102" s="1"/>
  <c r="J8" i="102"/>
  <c r="K8" i="102" s="1"/>
  <c r="J16" i="102"/>
  <c r="K16" i="102" s="1"/>
  <c r="J10" i="102"/>
  <c r="K10" i="102" s="1"/>
  <c r="J16" i="93"/>
  <c r="J14" i="93"/>
  <c r="J8" i="93"/>
  <c r="J5" i="93"/>
  <c r="J9" i="93"/>
  <c r="J6" i="93"/>
  <c r="J17" i="107"/>
  <c r="J10" i="107"/>
  <c r="J15" i="106"/>
  <c r="J9" i="106"/>
  <c r="J16" i="106"/>
  <c r="J14" i="106"/>
  <c r="J12" i="106"/>
  <c r="K12" i="106" s="1"/>
  <c r="J5" i="106"/>
  <c r="J6" i="106"/>
  <c r="K6" i="106" s="1"/>
  <c r="J9" i="111"/>
  <c r="K9" i="111" s="1"/>
  <c r="J11" i="111"/>
  <c r="J13" i="111"/>
  <c r="J15" i="111"/>
  <c r="J14" i="111"/>
  <c r="K14" i="111" s="1"/>
  <c r="J16" i="111"/>
  <c r="J5" i="111"/>
  <c r="J6" i="111"/>
  <c r="K6" i="111" s="1"/>
  <c r="J7" i="111"/>
  <c r="K7" i="111" s="1"/>
  <c r="J17" i="111"/>
  <c r="K17" i="111" s="1"/>
  <c r="J17" i="110"/>
  <c r="J6" i="110"/>
  <c r="J13" i="110"/>
  <c r="J15" i="110"/>
  <c r="K15" i="110" s="1"/>
  <c r="J12" i="110"/>
  <c r="K12" i="110" s="1"/>
  <c r="J13" i="118"/>
  <c r="J7" i="113"/>
  <c r="J14" i="113"/>
  <c r="J12" i="113"/>
  <c r="J10" i="113"/>
  <c r="J8" i="113"/>
  <c r="K8" i="113" s="1"/>
  <c r="J5" i="113"/>
  <c r="J16" i="113"/>
  <c r="J9" i="113"/>
  <c r="K9" i="113" s="1"/>
  <c r="J11" i="113"/>
  <c r="J13" i="113"/>
  <c r="J6" i="113"/>
  <c r="K6" i="113" s="1"/>
  <c r="J15" i="113"/>
  <c r="K15" i="113" s="1"/>
  <c r="J8" i="88"/>
  <c r="K8" i="88" s="1"/>
  <c r="J9" i="88"/>
  <c r="J14" i="88"/>
  <c r="J15" i="88"/>
  <c r="K15" i="88" s="1"/>
  <c r="J12" i="88"/>
  <c r="K12" i="88" s="1"/>
  <c r="J15" i="98"/>
  <c r="J6" i="98"/>
  <c r="J8" i="98"/>
  <c r="K8" i="98" s="1"/>
  <c r="J17" i="98"/>
  <c r="K17" i="98" s="1"/>
  <c r="J5" i="116"/>
  <c r="J14" i="116"/>
  <c r="J16" i="116"/>
  <c r="J6" i="116"/>
  <c r="K6" i="116" s="1"/>
  <c r="J13" i="116"/>
  <c r="K13" i="116" s="1"/>
  <c r="J15" i="116"/>
  <c r="K15" i="116" s="1"/>
  <c r="J11" i="116"/>
  <c r="K11" i="116" s="1"/>
  <c r="J8" i="116"/>
  <c r="K8" i="116" s="1"/>
  <c r="J7" i="116"/>
  <c r="K7" i="116" s="1"/>
  <c r="J17" i="116"/>
  <c r="K17" i="116" s="1"/>
  <c r="J12" i="116"/>
  <c r="K12" i="116" s="1"/>
  <c r="J9" i="116"/>
  <c r="K9" i="116" s="1"/>
  <c r="J16" i="91"/>
  <c r="K16" i="91" s="1"/>
  <c r="J17" i="118"/>
  <c r="K17" i="118" s="1"/>
  <c r="J5" i="118"/>
  <c r="J6" i="118"/>
  <c r="J16" i="118"/>
  <c r="K16" i="118" s="1"/>
  <c r="J14" i="118"/>
  <c r="J11" i="118"/>
  <c r="K11" i="118" s="1"/>
  <c r="J12" i="118"/>
  <c r="J8" i="118"/>
  <c r="K8" i="118" s="1"/>
  <c r="J15" i="118"/>
  <c r="K15" i="118" s="1"/>
  <c r="J7" i="118"/>
  <c r="K7" i="118" s="1"/>
  <c r="J9" i="118"/>
  <c r="K9" i="118" s="1"/>
  <c r="J7" i="114"/>
  <c r="K7" i="114" s="1"/>
  <c r="J15" i="114"/>
  <c r="K15" i="114" s="1"/>
  <c r="J9" i="114"/>
  <c r="J13" i="114"/>
  <c r="J14" i="114"/>
  <c r="K14" i="114" s="1"/>
  <c r="J17" i="114"/>
  <c r="J5" i="122"/>
  <c r="K5" i="122" s="1"/>
  <c r="K10" i="139"/>
  <c r="K12" i="139"/>
  <c r="K9" i="139"/>
  <c r="K5" i="139"/>
  <c r="K14" i="139"/>
  <c r="K11" i="139"/>
  <c r="K17" i="139"/>
  <c r="K8" i="139"/>
  <c r="K7" i="139"/>
  <c r="K6" i="139"/>
  <c r="K15" i="139"/>
  <c r="K13" i="139"/>
  <c r="K16" i="139"/>
  <c r="K12" i="138"/>
  <c r="K8" i="138"/>
  <c r="K14" i="138"/>
  <c r="K15" i="138"/>
  <c r="K17" i="138"/>
  <c r="K7" i="138"/>
  <c r="K6" i="138"/>
  <c r="K11" i="138"/>
  <c r="K10" i="138"/>
  <c r="K13" i="138"/>
  <c r="K16" i="138"/>
  <c r="K5" i="138"/>
  <c r="K9" i="138"/>
  <c r="K12" i="135"/>
  <c r="K17" i="135"/>
  <c r="K5" i="135"/>
  <c r="K14" i="135"/>
  <c r="K15" i="135"/>
  <c r="K10" i="135"/>
  <c r="K13" i="135"/>
  <c r="K9" i="135"/>
  <c r="K7" i="135"/>
  <c r="K8" i="135"/>
  <c r="K16" i="135"/>
  <c r="K6" i="135"/>
  <c r="K11" i="135"/>
  <c r="K15" i="134"/>
  <c r="K5" i="134"/>
  <c r="K10" i="134"/>
  <c r="K7" i="134"/>
  <c r="K9" i="134"/>
  <c r="K14" i="134"/>
  <c r="K17" i="134"/>
  <c r="K11" i="134"/>
  <c r="K13" i="134"/>
  <c r="K6" i="134"/>
  <c r="K12" i="134"/>
  <c r="K8" i="134"/>
  <c r="K16" i="134"/>
  <c r="K7" i="132"/>
  <c r="K13" i="132"/>
  <c r="K9" i="132"/>
  <c r="K10" i="132"/>
  <c r="K5" i="132"/>
  <c r="K8" i="132"/>
  <c r="K6" i="132"/>
  <c r="K17" i="132"/>
  <c r="K12" i="132"/>
  <c r="K11" i="132"/>
  <c r="K15" i="132"/>
  <c r="K16" i="132"/>
  <c r="K14" i="132"/>
  <c r="K9" i="131"/>
  <c r="K17" i="131"/>
  <c r="K6" i="131"/>
  <c r="K12" i="131"/>
  <c r="K8" i="131"/>
  <c r="K7" i="131"/>
  <c r="K15" i="131"/>
  <c r="K16" i="131"/>
  <c r="K30" i="131" s="1"/>
  <c r="K11" i="131"/>
  <c r="K5" i="131"/>
  <c r="K14" i="131"/>
  <c r="K13" i="131"/>
  <c r="K10" i="131"/>
  <c r="J15" i="103"/>
  <c r="K15" i="103" s="1"/>
  <c r="J11" i="114"/>
  <c r="K11" i="114" s="1"/>
  <c r="J8" i="114"/>
  <c r="J16" i="114"/>
  <c r="K16" i="114" s="1"/>
  <c r="J12" i="114"/>
  <c r="K12" i="114" s="1"/>
  <c r="J10" i="114"/>
  <c r="K10" i="114" s="1"/>
  <c r="K13" i="129"/>
  <c r="K11" i="129"/>
  <c r="K5" i="129"/>
  <c r="K17" i="129"/>
  <c r="K8" i="129"/>
  <c r="K10" i="129"/>
  <c r="K7" i="129"/>
  <c r="K15" i="129"/>
  <c r="K6" i="129"/>
  <c r="K9" i="129"/>
  <c r="K16" i="129"/>
  <c r="K14" i="129"/>
  <c r="K9" i="130"/>
  <c r="K8" i="130"/>
  <c r="K7" i="130"/>
  <c r="K11" i="130"/>
  <c r="K16" i="130"/>
  <c r="K12" i="130"/>
  <c r="K14" i="130"/>
  <c r="K6" i="130"/>
  <c r="K5" i="130"/>
  <c r="K15" i="130"/>
  <c r="K17" i="130"/>
  <c r="K13" i="130"/>
  <c r="K10" i="130"/>
  <c r="K10" i="128"/>
  <c r="K5" i="128"/>
  <c r="K17" i="128"/>
  <c r="K13" i="128"/>
  <c r="K15" i="128"/>
  <c r="K8" i="128"/>
  <c r="K9" i="128"/>
  <c r="K11" i="128"/>
  <c r="K16" i="128"/>
  <c r="K14" i="128"/>
  <c r="K6" i="128"/>
  <c r="K7" i="128"/>
  <c r="K12" i="128"/>
  <c r="K6" i="125"/>
  <c r="K10" i="105"/>
  <c r="K10" i="125"/>
  <c r="K7" i="125"/>
  <c r="K17" i="125"/>
  <c r="K5" i="125"/>
  <c r="K12" i="125"/>
  <c r="K9" i="125"/>
  <c r="K14" i="125"/>
  <c r="K11" i="125"/>
  <c r="K13" i="125"/>
  <c r="K15" i="125"/>
  <c r="K16" i="125"/>
  <c r="K8" i="125"/>
  <c r="K9" i="124"/>
  <c r="K12" i="124"/>
  <c r="K8" i="124"/>
  <c r="K5" i="124"/>
  <c r="K6" i="124"/>
  <c r="K14" i="124"/>
  <c r="K16" i="124"/>
  <c r="K17" i="124"/>
  <c r="K15" i="124"/>
  <c r="K13" i="124"/>
  <c r="K11" i="124"/>
  <c r="K7" i="124"/>
  <c r="K10" i="124"/>
  <c r="K6" i="123"/>
  <c r="K14" i="123"/>
  <c r="K10" i="123"/>
  <c r="K5" i="123"/>
  <c r="K15" i="123"/>
  <c r="K11" i="123"/>
  <c r="K17" i="123"/>
  <c r="K13" i="123"/>
  <c r="K16" i="123"/>
  <c r="K7" i="123"/>
  <c r="K9" i="123"/>
  <c r="K8" i="123"/>
  <c r="K12" i="123"/>
  <c r="J14" i="91"/>
  <c r="K14" i="91" s="1"/>
  <c r="J7" i="91"/>
  <c r="J15" i="91"/>
  <c r="J11" i="91"/>
  <c r="K11" i="91" s="1"/>
  <c r="J11" i="98"/>
  <c r="K11" i="98" s="1"/>
  <c r="J7" i="110"/>
  <c r="K7" i="110" s="1"/>
  <c r="J10" i="110"/>
  <c r="K10" i="110" s="1"/>
  <c r="J9" i="91"/>
  <c r="K9" i="91" s="1"/>
  <c r="J14" i="98"/>
  <c r="K14" i="98" s="1"/>
  <c r="J8" i="91"/>
  <c r="K8" i="91" s="1"/>
  <c r="J7" i="98"/>
  <c r="K7" i="98" s="1"/>
  <c r="J5" i="91"/>
  <c r="K5" i="91" s="1"/>
  <c r="J17" i="91"/>
  <c r="K17" i="91" s="1"/>
  <c r="J9" i="98"/>
  <c r="K9" i="98" s="1"/>
  <c r="J13" i="91"/>
  <c r="K13" i="91" s="1"/>
  <c r="J12" i="91"/>
  <c r="K12" i="91" s="1"/>
  <c r="J12" i="98"/>
  <c r="K12" i="98" s="1"/>
  <c r="J13" i="98"/>
  <c r="K13" i="98" s="1"/>
  <c r="J16" i="110"/>
  <c r="K16" i="110" s="1"/>
  <c r="J5" i="110"/>
  <c r="K5" i="110" s="1"/>
  <c r="J11" i="110"/>
  <c r="K11" i="110" s="1"/>
  <c r="J9" i="110"/>
  <c r="K9" i="110" s="1"/>
  <c r="K13" i="122"/>
  <c r="J12" i="122"/>
  <c r="K12" i="122" s="1"/>
  <c r="J16" i="122"/>
  <c r="K16" i="122" s="1"/>
  <c r="J11" i="122"/>
  <c r="K11" i="122" s="1"/>
  <c r="J8" i="122"/>
  <c r="K8" i="122" s="1"/>
  <c r="J6" i="122"/>
  <c r="K6" i="122" s="1"/>
  <c r="J14" i="122"/>
  <c r="K14" i="122" s="1"/>
  <c r="J17" i="122"/>
  <c r="K17" i="122" s="1"/>
  <c r="J9" i="122"/>
  <c r="K9" i="122" s="1"/>
  <c r="J7" i="122"/>
  <c r="K7" i="122" s="1"/>
  <c r="J10" i="122"/>
  <c r="K10" i="122" s="1"/>
  <c r="J15" i="122"/>
  <c r="K15" i="122" s="1"/>
  <c r="K10" i="117"/>
  <c r="K5" i="120"/>
  <c r="J13" i="120"/>
  <c r="K13" i="120" s="1"/>
  <c r="J12" i="120"/>
  <c r="K12" i="120" s="1"/>
  <c r="J8" i="120"/>
  <c r="K8" i="120" s="1"/>
  <c r="J9" i="120"/>
  <c r="K9" i="120" s="1"/>
  <c r="J17" i="120"/>
  <c r="K17" i="120" s="1"/>
  <c r="J10" i="120"/>
  <c r="K10" i="120" s="1"/>
  <c r="J16" i="120"/>
  <c r="K16" i="120" s="1"/>
  <c r="J6" i="120"/>
  <c r="K6" i="120" s="1"/>
  <c r="J7" i="120"/>
  <c r="K7" i="120" s="1"/>
  <c r="J15" i="120"/>
  <c r="K15" i="120" s="1"/>
  <c r="J14" i="120"/>
  <c r="K14" i="120" s="1"/>
  <c r="J11" i="120"/>
  <c r="K11" i="120" s="1"/>
  <c r="J7" i="101"/>
  <c r="J10" i="109"/>
  <c r="K10" i="109" s="1"/>
  <c r="J14" i="109"/>
  <c r="K14" i="109" s="1"/>
  <c r="J13" i="109"/>
  <c r="K13" i="109" s="1"/>
  <c r="K10" i="116"/>
  <c r="K9" i="115"/>
  <c r="K10" i="112"/>
  <c r="K10" i="111"/>
  <c r="G14" i="108"/>
  <c r="G11" i="108"/>
  <c r="G13" i="108"/>
  <c r="G15" i="108"/>
  <c r="G7" i="108"/>
  <c r="G5" i="108"/>
  <c r="G9" i="108"/>
  <c r="G16" i="108"/>
  <c r="G6" i="108"/>
  <c r="G8" i="108"/>
  <c r="G12" i="108"/>
  <c r="G10" i="108"/>
  <c r="K17" i="110"/>
  <c r="G16" i="107"/>
  <c r="G10" i="107"/>
  <c r="G11" i="107"/>
  <c r="G13" i="107"/>
  <c r="G7" i="107"/>
  <c r="G15" i="107"/>
  <c r="G9" i="107"/>
  <c r="G12" i="107"/>
  <c r="G6" i="107"/>
  <c r="G14" i="107"/>
  <c r="G8" i="107"/>
  <c r="K10" i="104"/>
  <c r="K10" i="93"/>
  <c r="K12" i="102"/>
  <c r="K11" i="97"/>
  <c r="K11" i="96"/>
  <c r="G15" i="93"/>
  <c r="K8" i="94"/>
  <c r="G8" i="94"/>
  <c r="K10" i="95"/>
  <c r="G15" i="94"/>
  <c r="G7" i="94"/>
  <c r="G5" i="94"/>
  <c r="G14" i="94"/>
  <c r="G6" i="94"/>
  <c r="G16" i="94"/>
  <c r="G12" i="94"/>
  <c r="G11" i="94"/>
  <c r="G13" i="94"/>
  <c r="G10" i="94"/>
  <c r="G9" i="94"/>
  <c r="G6" i="93"/>
  <c r="G8" i="93"/>
  <c r="G16" i="93"/>
  <c r="G11" i="93"/>
  <c r="G5" i="93"/>
  <c r="G9" i="93"/>
  <c r="G7" i="93"/>
  <c r="G12" i="93"/>
  <c r="G13" i="93"/>
  <c r="G14" i="93"/>
  <c r="G10" i="93"/>
  <c r="K10" i="90"/>
  <c r="K11" i="88"/>
  <c r="K15" i="117"/>
  <c r="K7" i="117"/>
  <c r="K14" i="113"/>
  <c r="K16" i="113"/>
  <c r="K5" i="114"/>
  <c r="K9" i="114"/>
  <c r="K10" i="118"/>
  <c r="K9" i="94"/>
  <c r="K8" i="114"/>
  <c r="K10" i="94"/>
  <c r="K5" i="106"/>
  <c r="K6" i="117"/>
  <c r="K14" i="117"/>
  <c r="K17" i="117"/>
  <c r="K11" i="117"/>
  <c r="K14" i="93"/>
  <c r="K13" i="93"/>
  <c r="K5" i="100"/>
  <c r="K16" i="112"/>
  <c r="K6" i="91"/>
  <c r="K14" i="95"/>
  <c r="K6" i="110"/>
  <c r="K14" i="88"/>
  <c r="K15" i="97"/>
  <c r="G14" i="118"/>
  <c r="G10" i="118"/>
  <c r="G8" i="118"/>
  <c r="G12" i="118"/>
  <c r="G15" i="118"/>
  <c r="G6" i="118"/>
  <c r="G11" i="118"/>
  <c r="G5" i="118"/>
  <c r="G7" i="118"/>
  <c r="G13" i="118"/>
  <c r="G9" i="118"/>
  <c r="G16" i="118"/>
  <c r="K9" i="117"/>
  <c r="K13" i="117"/>
  <c r="K16" i="117"/>
  <c r="K5" i="97"/>
  <c r="K8" i="97"/>
  <c r="K6" i="115"/>
  <c r="K12" i="115"/>
  <c r="K8" i="115"/>
  <c r="K15" i="115"/>
  <c r="K13" i="97"/>
  <c r="K12" i="97"/>
  <c r="K17" i="115"/>
  <c r="K13" i="115"/>
  <c r="K16" i="97"/>
  <c r="K8" i="110"/>
  <c r="K7" i="115"/>
  <c r="K11" i="109"/>
  <c r="K13" i="110"/>
  <c r="K14" i="110"/>
  <c r="K10" i="97"/>
  <c r="K14" i="104"/>
  <c r="K8" i="104"/>
  <c r="K5" i="115"/>
  <c r="K11" i="115"/>
  <c r="K13" i="114"/>
  <c r="K14" i="116"/>
  <c r="K12" i="117"/>
  <c r="K8" i="117"/>
  <c r="K17" i="114"/>
  <c r="K5" i="117"/>
  <c r="K6" i="97"/>
  <c r="K17" i="97"/>
  <c r="K15" i="106"/>
  <c r="K17" i="106"/>
  <c r="K5" i="116"/>
  <c r="K8" i="106"/>
  <c r="K16" i="116"/>
  <c r="K7" i="113"/>
  <c r="K13" i="101"/>
  <c r="K13" i="113"/>
  <c r="K8" i="112"/>
  <c r="K12" i="112"/>
  <c r="K9" i="106"/>
  <c r="K10" i="106"/>
  <c r="K11" i="107"/>
  <c r="K16" i="106"/>
  <c r="K7" i="106"/>
  <c r="K12" i="113"/>
  <c r="K11" i="113"/>
  <c r="K14" i="106"/>
  <c r="K11" i="106"/>
  <c r="K10" i="113"/>
  <c r="K13" i="106"/>
  <c r="K17" i="113"/>
  <c r="K5" i="113"/>
  <c r="K5" i="111"/>
  <c r="K6" i="112"/>
  <c r="K15" i="112"/>
  <c r="K11" i="90"/>
  <c r="K9" i="108"/>
  <c r="K15" i="90"/>
  <c r="K13" i="111"/>
  <c r="K12" i="111"/>
  <c r="K15" i="111"/>
  <c r="K8" i="111"/>
  <c r="K7" i="104"/>
  <c r="K16" i="111"/>
  <c r="K11" i="111"/>
  <c r="K7" i="101"/>
  <c r="K15" i="102"/>
  <c r="K7" i="100"/>
  <c r="K10" i="107"/>
  <c r="K14" i="100"/>
  <c r="K17" i="107"/>
  <c r="K17" i="104"/>
  <c r="K7" i="92"/>
  <c r="K5" i="104"/>
  <c r="K9" i="104"/>
  <c r="K15" i="100"/>
  <c r="K14" i="102"/>
  <c r="K16" i="104"/>
  <c r="K12" i="104"/>
  <c r="K13" i="104"/>
  <c r="K11" i="104"/>
  <c r="K15" i="104"/>
  <c r="K8" i="100"/>
  <c r="K6" i="104"/>
  <c r="K15" i="91"/>
  <c r="K14" i="97"/>
  <c r="K9" i="95"/>
  <c r="K17" i="95"/>
  <c r="K7" i="97"/>
  <c r="K9" i="97"/>
  <c r="K7" i="95"/>
  <c r="K5" i="102"/>
  <c r="K13" i="95"/>
  <c r="K11" i="95"/>
  <c r="K13" i="102"/>
  <c r="K16" i="95"/>
  <c r="K15" i="95"/>
  <c r="K6" i="95"/>
  <c r="K8" i="95"/>
  <c r="K7" i="102"/>
  <c r="K16" i="86"/>
  <c r="K11" i="86"/>
  <c r="K6" i="98"/>
  <c r="K5" i="95"/>
  <c r="K7" i="96"/>
  <c r="K12" i="95"/>
  <c r="K9" i="86"/>
  <c r="K8" i="96"/>
  <c r="K14" i="96"/>
  <c r="K9" i="96"/>
  <c r="K10" i="96"/>
  <c r="K15" i="98"/>
  <c r="K6" i="96"/>
  <c r="K14" i="94"/>
  <c r="K13" i="96"/>
  <c r="K16" i="96"/>
  <c r="K5" i="98"/>
  <c r="K16" i="98"/>
  <c r="K10" i="98"/>
  <c r="K7" i="94"/>
  <c r="K5" i="96"/>
  <c r="K12" i="96"/>
  <c r="K17" i="96"/>
  <c r="K15" i="96"/>
  <c r="K12" i="94"/>
  <c r="K5" i="94"/>
  <c r="K15" i="94"/>
  <c r="K16" i="94"/>
  <c r="K9" i="88"/>
  <c r="K13" i="94"/>
  <c r="K6" i="94"/>
  <c r="K16" i="88"/>
  <c r="K11" i="94"/>
  <c r="K17" i="94"/>
  <c r="K9" i="93"/>
  <c r="K15" i="93"/>
  <c r="K11" i="93"/>
  <c r="K12" i="93"/>
  <c r="K5" i="93"/>
  <c r="K7" i="93"/>
  <c r="K7" i="91"/>
  <c r="K10" i="91"/>
  <c r="K6" i="93"/>
  <c r="K16" i="93"/>
  <c r="K8" i="93"/>
  <c r="K17" i="93"/>
  <c r="K5" i="90"/>
  <c r="K13" i="88"/>
  <c r="K5" i="88"/>
  <c r="K17" i="88"/>
  <c r="K6" i="88"/>
  <c r="K17" i="90"/>
  <c r="K12" i="90"/>
  <c r="K16" i="90"/>
  <c r="K6" i="90"/>
  <c r="K9" i="90"/>
  <c r="K7" i="90"/>
  <c r="K14" i="90"/>
  <c r="K13" i="90"/>
  <c r="K8" i="90"/>
  <c r="K14" i="84"/>
  <c r="K11" i="87"/>
  <c r="K7" i="86"/>
  <c r="K15" i="86"/>
  <c r="K17" i="86"/>
  <c r="K10" i="86"/>
  <c r="K13" i="86"/>
  <c r="K8" i="86"/>
  <c r="K12" i="86"/>
  <c r="K14" i="86"/>
  <c r="K5" i="86"/>
  <c r="K6" i="86"/>
  <c r="K10" i="85"/>
  <c r="K5" i="118"/>
  <c r="K13" i="118"/>
  <c r="K14" i="118"/>
  <c r="K12" i="118"/>
  <c r="K6" i="118"/>
  <c r="J6" i="114"/>
  <c r="K6" i="114" s="1"/>
  <c r="J5" i="109"/>
  <c r="K5" i="109" s="1"/>
  <c r="J9" i="109"/>
  <c r="K9" i="109" s="1"/>
  <c r="J16" i="109"/>
  <c r="K16" i="109" s="1"/>
  <c r="J8" i="109"/>
  <c r="K8" i="109" s="1"/>
  <c r="J12" i="109"/>
  <c r="K12" i="109" s="1"/>
  <c r="J15" i="109"/>
  <c r="K15" i="109" s="1"/>
  <c r="J17" i="109"/>
  <c r="K17" i="109" s="1"/>
  <c r="J7" i="109"/>
  <c r="K7" i="109" s="1"/>
  <c r="J6" i="109"/>
  <c r="K6" i="109" s="1"/>
  <c r="J10" i="108"/>
  <c r="K10" i="108" s="1"/>
  <c r="J11" i="108"/>
  <c r="K11" i="108" s="1"/>
  <c r="J7" i="108"/>
  <c r="K7" i="108" s="1"/>
  <c r="J17" i="108"/>
  <c r="K17" i="108" s="1"/>
  <c r="J6" i="108"/>
  <c r="K6" i="108" s="1"/>
  <c r="J15" i="108"/>
  <c r="K15" i="108" s="1"/>
  <c r="J8" i="108"/>
  <c r="K8" i="108" s="1"/>
  <c r="J5" i="108"/>
  <c r="K5" i="108" s="1"/>
  <c r="J14" i="108"/>
  <c r="K14" i="108" s="1"/>
  <c r="J16" i="108"/>
  <c r="K16" i="108" s="1"/>
  <c r="J13" i="108"/>
  <c r="K13" i="108" s="1"/>
  <c r="J12" i="108"/>
  <c r="K12" i="108" s="1"/>
  <c r="J15" i="107"/>
  <c r="K15" i="107" s="1"/>
  <c r="K25" i="107" s="1"/>
  <c r="J12" i="107"/>
  <c r="K12" i="107" s="1"/>
  <c r="J6" i="107"/>
  <c r="K6" i="107" s="1"/>
  <c r="K23" i="107" s="1"/>
  <c r="J16" i="107"/>
  <c r="K16" i="107" s="1"/>
  <c r="J9" i="107"/>
  <c r="K9" i="107" s="1"/>
  <c r="J7" i="107"/>
  <c r="K7" i="107" s="1"/>
  <c r="J8" i="107"/>
  <c r="K8" i="107" s="1"/>
  <c r="K24" i="107" s="1"/>
  <c r="J13" i="107"/>
  <c r="K13" i="107" s="1"/>
  <c r="J14" i="107"/>
  <c r="K14" i="107" s="1"/>
  <c r="J7" i="103"/>
  <c r="K7" i="103" s="1"/>
  <c r="J10" i="103"/>
  <c r="K10" i="103" s="1"/>
  <c r="J8" i="103"/>
  <c r="K8" i="103" s="1"/>
  <c r="J11" i="103"/>
  <c r="K11" i="103" s="1"/>
  <c r="J9" i="103"/>
  <c r="K9" i="103" s="1"/>
  <c r="J16" i="103"/>
  <c r="K16" i="103" s="1"/>
  <c r="J13" i="103"/>
  <c r="K13" i="103" s="1"/>
  <c r="J17" i="103"/>
  <c r="K17" i="103" s="1"/>
  <c r="J12" i="103"/>
  <c r="K12" i="103" s="1"/>
  <c r="J5" i="103"/>
  <c r="K5" i="103" s="1"/>
  <c r="J6" i="103"/>
  <c r="K6" i="103" s="1"/>
  <c r="J14" i="103"/>
  <c r="K14" i="103" s="1"/>
  <c r="J11" i="101"/>
  <c r="K11" i="101" s="1"/>
  <c r="J5" i="101"/>
  <c r="K5" i="101" s="1"/>
  <c r="J9" i="101"/>
  <c r="K9" i="101" s="1"/>
  <c r="J15" i="101"/>
  <c r="K15" i="101" s="1"/>
  <c r="J10" i="101"/>
  <c r="K10" i="101" s="1"/>
  <c r="J12" i="101"/>
  <c r="K12" i="101" s="1"/>
  <c r="J6" i="101"/>
  <c r="K6" i="101" s="1"/>
  <c r="J17" i="101"/>
  <c r="K17" i="101" s="1"/>
  <c r="J16" i="101"/>
  <c r="K16" i="101" s="1"/>
  <c r="J14" i="101"/>
  <c r="K14" i="101" s="1"/>
  <c r="J8" i="101"/>
  <c r="K8" i="101" s="1"/>
  <c r="J7" i="99"/>
  <c r="K7" i="99" s="1"/>
  <c r="J13" i="99"/>
  <c r="K13" i="99" s="1"/>
  <c r="J10" i="99"/>
  <c r="K10" i="99" s="1"/>
  <c r="J12" i="99"/>
  <c r="K12" i="99" s="1"/>
  <c r="J8" i="99"/>
  <c r="K8" i="99" s="1"/>
  <c r="J14" i="99"/>
  <c r="K14" i="99" s="1"/>
  <c r="J17" i="99"/>
  <c r="K17" i="99" s="1"/>
  <c r="J16" i="99"/>
  <c r="K16" i="99" s="1"/>
  <c r="J5" i="99"/>
  <c r="K5" i="99" s="1"/>
  <c r="J11" i="99"/>
  <c r="K11" i="99" s="1"/>
  <c r="J6" i="99"/>
  <c r="K6" i="99" s="1"/>
  <c r="J15" i="99"/>
  <c r="K15" i="99" s="1"/>
  <c r="J9" i="99"/>
  <c r="K9" i="99" s="1"/>
  <c r="J12" i="92"/>
  <c r="K12" i="92" s="1"/>
  <c r="J10" i="92"/>
  <c r="K10" i="92" s="1"/>
  <c r="J5" i="92"/>
  <c r="K5" i="92" s="1"/>
  <c r="J6" i="92"/>
  <c r="K6" i="92" s="1"/>
  <c r="J8" i="92"/>
  <c r="K8" i="92" s="1"/>
  <c r="J17" i="92"/>
  <c r="K17" i="92" s="1"/>
  <c r="J11" i="92"/>
  <c r="K11" i="92" s="1"/>
  <c r="J14" i="92"/>
  <c r="K14" i="92" s="1"/>
  <c r="J9" i="92"/>
  <c r="K9" i="92" s="1"/>
  <c r="J13" i="92"/>
  <c r="K13" i="92" s="1"/>
  <c r="J16" i="92"/>
  <c r="K16" i="92" s="1"/>
  <c r="J15" i="92"/>
  <c r="K15" i="92" s="1"/>
  <c r="J8" i="89"/>
  <c r="K8" i="89" s="1"/>
  <c r="J16" i="89"/>
  <c r="K16" i="89" s="1"/>
  <c r="J7" i="89"/>
  <c r="K7" i="89" s="1"/>
  <c r="J13" i="89"/>
  <c r="K13" i="89" s="1"/>
  <c r="J10" i="89"/>
  <c r="K10" i="89" s="1"/>
  <c r="J15" i="89"/>
  <c r="K15" i="89" s="1"/>
  <c r="J6" i="89"/>
  <c r="K6" i="89" s="1"/>
  <c r="J17" i="89"/>
  <c r="K17" i="89" s="1"/>
  <c r="J5" i="89"/>
  <c r="K5" i="89" s="1"/>
  <c r="J12" i="89"/>
  <c r="K12" i="89" s="1"/>
  <c r="J9" i="89"/>
  <c r="K9" i="89" s="1"/>
  <c r="J14" i="89"/>
  <c r="K14" i="89" s="1"/>
  <c r="J11" i="89"/>
  <c r="K11" i="89" s="1"/>
  <c r="J15" i="87"/>
  <c r="K15" i="87" s="1"/>
  <c r="J10" i="87"/>
  <c r="K10" i="87" s="1"/>
  <c r="J13" i="87"/>
  <c r="K13" i="87" s="1"/>
  <c r="J14" i="87"/>
  <c r="K14" i="87" s="1"/>
  <c r="J16" i="87"/>
  <c r="K16" i="87" s="1"/>
  <c r="J8" i="87"/>
  <c r="K8" i="87" s="1"/>
  <c r="J17" i="87"/>
  <c r="K17" i="87" s="1"/>
  <c r="J7" i="87"/>
  <c r="K7" i="87" s="1"/>
  <c r="J6" i="87"/>
  <c r="K6" i="87" s="1"/>
  <c r="J9" i="87"/>
  <c r="K9" i="87" s="1"/>
  <c r="J12" i="87"/>
  <c r="K12" i="87" s="1"/>
  <c r="J5" i="87"/>
  <c r="K5" i="87" s="1"/>
  <c r="J12" i="85"/>
  <c r="K12" i="85" s="1"/>
  <c r="J5" i="85"/>
  <c r="K5" i="85" s="1"/>
  <c r="J13" i="85"/>
  <c r="K13" i="85" s="1"/>
  <c r="J16" i="85"/>
  <c r="K16" i="85" s="1"/>
  <c r="J7" i="85"/>
  <c r="K7" i="85" s="1"/>
  <c r="J9" i="85"/>
  <c r="K9" i="85" s="1"/>
  <c r="J17" i="85"/>
  <c r="K17" i="85" s="1"/>
  <c r="J11" i="85"/>
  <c r="K11" i="85" s="1"/>
  <c r="J14" i="85"/>
  <c r="K14" i="85" s="1"/>
  <c r="J15" i="85"/>
  <c r="K15" i="85" s="1"/>
  <c r="J8" i="85"/>
  <c r="K8" i="85" s="1"/>
  <c r="J6" i="85"/>
  <c r="K6" i="85" s="1"/>
  <c r="J10" i="84"/>
  <c r="K10" i="84" s="1"/>
  <c r="J8" i="84"/>
  <c r="K8" i="84" s="1"/>
  <c r="J11" i="84"/>
  <c r="K11" i="84" s="1"/>
  <c r="J12" i="84"/>
  <c r="K12" i="84" s="1"/>
  <c r="J6" i="84"/>
  <c r="K6" i="84" s="1"/>
  <c r="J16" i="84"/>
  <c r="K16" i="84" s="1"/>
  <c r="J13" i="84"/>
  <c r="K13" i="84" s="1"/>
  <c r="J5" i="84"/>
  <c r="K5" i="84" s="1"/>
  <c r="J15" i="84"/>
  <c r="K15" i="84" s="1"/>
  <c r="J17" i="84"/>
  <c r="K17" i="84" s="1"/>
  <c r="J7" i="84"/>
  <c r="K7" i="84" s="1"/>
  <c r="J9" i="84"/>
  <c r="K9" i="84" s="1"/>
  <c r="I20" i="83"/>
  <c r="I13" i="82"/>
  <c r="I6" i="82"/>
  <c r="I10" i="82"/>
  <c r="I9" i="82"/>
  <c r="F19" i="138" l="1"/>
  <c r="G14" i="138" s="1"/>
  <c r="K20" i="91"/>
  <c r="K20" i="139"/>
  <c r="K20" i="138"/>
  <c r="K20" i="135"/>
  <c r="K20" i="134"/>
  <c r="K20" i="132"/>
  <c r="K20" i="131"/>
  <c r="K20" i="129"/>
  <c r="K20" i="130"/>
  <c r="K20" i="128"/>
  <c r="K15" i="105"/>
  <c r="K14" i="105"/>
  <c r="K12" i="105"/>
  <c r="K5" i="105"/>
  <c r="K6" i="105"/>
  <c r="K9" i="105"/>
  <c r="K7" i="105"/>
  <c r="K11" i="105"/>
  <c r="K17" i="105"/>
  <c r="K16" i="105"/>
  <c r="K8" i="105"/>
  <c r="K13" i="105"/>
  <c r="K20" i="125"/>
  <c r="K20" i="124"/>
  <c r="K20" i="123"/>
  <c r="K20" i="122"/>
  <c r="K20" i="120"/>
  <c r="G20" i="108"/>
  <c r="G20" i="107"/>
  <c r="G20" i="94"/>
  <c r="G20" i="93"/>
  <c r="G6" i="82"/>
  <c r="G5" i="82"/>
  <c r="G13" i="82"/>
  <c r="G12" i="82"/>
  <c r="G14" i="82"/>
  <c r="G11" i="82"/>
  <c r="G16" i="82"/>
  <c r="G7" i="82"/>
  <c r="G8" i="82"/>
  <c r="G10" i="82"/>
  <c r="G9" i="82"/>
  <c r="G15" i="82"/>
  <c r="G20" i="118"/>
  <c r="K20" i="117"/>
  <c r="K20" i="110"/>
  <c r="K20" i="115"/>
  <c r="K20" i="114"/>
  <c r="K20" i="116"/>
  <c r="K20" i="112"/>
  <c r="K20" i="106"/>
  <c r="K20" i="113"/>
  <c r="K20" i="111"/>
  <c r="K20" i="109"/>
  <c r="K20" i="107"/>
  <c r="K20" i="97"/>
  <c r="K20" i="104"/>
  <c r="K20" i="100"/>
  <c r="K20" i="102"/>
  <c r="K20" i="95"/>
  <c r="K20" i="96"/>
  <c r="K20" i="98"/>
  <c r="K20" i="94"/>
  <c r="K20" i="93"/>
  <c r="K20" i="88"/>
  <c r="K20" i="90"/>
  <c r="K20" i="86"/>
  <c r="K20" i="118"/>
  <c r="J8" i="83"/>
  <c r="K8" i="83" s="1"/>
  <c r="J16" i="83"/>
  <c r="K16" i="83" s="1"/>
  <c r="J9" i="83"/>
  <c r="K9" i="83" s="1"/>
  <c r="J17" i="83"/>
  <c r="K17" i="83" s="1"/>
  <c r="J10" i="83"/>
  <c r="K10" i="83" s="1"/>
  <c r="J6" i="83"/>
  <c r="K6" i="83" s="1"/>
  <c r="J11" i="83"/>
  <c r="K11" i="83" s="1"/>
  <c r="J13" i="83"/>
  <c r="K13" i="83" s="1"/>
  <c r="J14" i="83"/>
  <c r="K14" i="83" s="1"/>
  <c r="J12" i="83"/>
  <c r="K12" i="83" s="1"/>
  <c r="J7" i="83"/>
  <c r="K7" i="83" s="1"/>
  <c r="J15" i="83"/>
  <c r="K15" i="83" s="1"/>
  <c r="J5" i="83"/>
  <c r="K5" i="83" s="1"/>
  <c r="K20" i="108"/>
  <c r="K20" i="103"/>
  <c r="K20" i="101"/>
  <c r="K20" i="99"/>
  <c r="K20" i="92"/>
  <c r="K20" i="89"/>
  <c r="K20" i="87"/>
  <c r="K20" i="85"/>
  <c r="K20" i="84"/>
  <c r="I20" i="82"/>
  <c r="F19" i="90" l="1"/>
  <c r="G7" i="90" s="1"/>
  <c r="F19" i="125"/>
  <c r="G10" i="125" s="1"/>
  <c r="F19" i="104"/>
  <c r="G6" i="104" s="1"/>
  <c r="F19" i="139"/>
  <c r="G7" i="139" s="1"/>
  <c r="G9" i="138"/>
  <c r="G6" i="138"/>
  <c r="F19" i="105"/>
  <c r="G15" i="105" s="1"/>
  <c r="F19" i="98"/>
  <c r="G9" i="98" s="1"/>
  <c r="F19" i="116"/>
  <c r="G9" i="116" s="1"/>
  <c r="F19" i="87"/>
  <c r="G5" i="87" s="1"/>
  <c r="F19" i="115"/>
  <c r="G10" i="115" s="1"/>
  <c r="F19" i="111"/>
  <c r="G5" i="111" s="1"/>
  <c r="F19" i="95"/>
  <c r="G16" i="95" s="1"/>
  <c r="F19" i="99"/>
  <c r="G16" i="99" s="1"/>
  <c r="G10" i="138"/>
  <c r="F19" i="131"/>
  <c r="G11" i="131" s="1"/>
  <c r="F19" i="135"/>
  <c r="G15" i="135" s="1"/>
  <c r="F19" i="96"/>
  <c r="G16" i="96" s="1"/>
  <c r="F19" i="114"/>
  <c r="G11" i="114" s="1"/>
  <c r="F19" i="86"/>
  <c r="G11" i="86" s="1"/>
  <c r="F19" i="129"/>
  <c r="G8" i="129" s="1"/>
  <c r="F18" i="137"/>
  <c r="K6" i="137" s="1"/>
  <c r="G5" i="138"/>
  <c r="G13" i="138"/>
  <c r="F19" i="109"/>
  <c r="G14" i="109" s="1"/>
  <c r="F19" i="88"/>
  <c r="G8" i="88" s="1"/>
  <c r="F19" i="134"/>
  <c r="G9" i="134" s="1"/>
  <c r="F19" i="106"/>
  <c r="G16" i="106" s="1"/>
  <c r="F19" i="120"/>
  <c r="G15" i="120" s="1"/>
  <c r="F19" i="128"/>
  <c r="G12" i="128" s="1"/>
  <c r="F19" i="97"/>
  <c r="G8" i="97" s="1"/>
  <c r="F19" i="100"/>
  <c r="G6" i="100" s="1"/>
  <c r="F19" i="103"/>
  <c r="G8" i="103" s="1"/>
  <c r="F19" i="117"/>
  <c r="G15" i="117" s="1"/>
  <c r="F19" i="85"/>
  <c r="G11" i="85" s="1"/>
  <c r="F19" i="137"/>
  <c r="F19" i="92"/>
  <c r="G16" i="92" s="1"/>
  <c r="F19" i="102"/>
  <c r="G6" i="102" s="1"/>
  <c r="F19" i="101"/>
  <c r="G6" i="101" s="1"/>
  <c r="F18" i="140"/>
  <c r="K10" i="140" s="1"/>
  <c r="K24" i="140" s="1"/>
  <c r="F19" i="140"/>
  <c r="F19" i="91"/>
  <c r="G11" i="91" s="1"/>
  <c r="F19" i="89"/>
  <c r="G14" i="89" s="1"/>
  <c r="G7" i="138"/>
  <c r="G11" i="138"/>
  <c r="G15" i="138"/>
  <c r="F19" i="112"/>
  <c r="G13" i="112" s="1"/>
  <c r="G12" i="138"/>
  <c r="F19" i="122"/>
  <c r="G14" i="122" s="1"/>
  <c r="F19" i="123"/>
  <c r="G13" i="123" s="1"/>
  <c r="F19" i="110"/>
  <c r="G10" i="110" s="1"/>
  <c r="F19" i="124"/>
  <c r="G6" i="124" s="1"/>
  <c r="F19" i="84"/>
  <c r="G9" i="84" s="1"/>
  <c r="F19" i="130"/>
  <c r="G16" i="130" s="1"/>
  <c r="F19" i="113"/>
  <c r="G10" i="113" s="1"/>
  <c r="F19" i="83"/>
  <c r="G15" i="83" s="1"/>
  <c r="G8" i="138"/>
  <c r="F19" i="132"/>
  <c r="G16" i="132" s="1"/>
  <c r="G16" i="138"/>
  <c r="K20" i="105"/>
  <c r="G20" i="82"/>
  <c r="J16" i="82"/>
  <c r="K16" i="82" s="1"/>
  <c r="J17" i="82"/>
  <c r="K17" i="82" s="1"/>
  <c r="J14" i="82"/>
  <c r="K14" i="82" s="1"/>
  <c r="J5" i="82"/>
  <c r="K5" i="82" s="1"/>
  <c r="J12" i="82"/>
  <c r="K12" i="82" s="1"/>
  <c r="J15" i="82"/>
  <c r="K15" i="82" s="1"/>
  <c r="J8" i="82"/>
  <c r="K8" i="82" s="1"/>
  <c r="J7" i="82"/>
  <c r="K7" i="82" s="1"/>
  <c r="J11" i="82"/>
  <c r="K11" i="82" s="1"/>
  <c r="J9" i="82"/>
  <c r="K9" i="82" s="1"/>
  <c r="J6" i="82"/>
  <c r="K6" i="82" s="1"/>
  <c r="J13" i="82"/>
  <c r="K13" i="82" s="1"/>
  <c r="J10" i="82"/>
  <c r="K10" i="82" s="1"/>
  <c r="K20" i="83"/>
  <c r="G8" i="104" l="1"/>
  <c r="G13" i="104"/>
  <c r="G11" i="90"/>
  <c r="G10" i="90"/>
  <c r="G16" i="90"/>
  <c r="G9" i="90"/>
  <c r="G5" i="104"/>
  <c r="G7" i="104"/>
  <c r="G14" i="90"/>
  <c r="G6" i="90"/>
  <c r="G8" i="90"/>
  <c r="G12" i="90"/>
  <c r="G15" i="90"/>
  <c r="G13" i="90"/>
  <c r="G10" i="104"/>
  <c r="G16" i="104"/>
  <c r="G16" i="125"/>
  <c r="G8" i="125"/>
  <c r="G13" i="125"/>
  <c r="G12" i="125"/>
  <c r="G9" i="125"/>
  <c r="G11" i="104"/>
  <c r="G15" i="104"/>
  <c r="G12" i="105"/>
  <c r="G5" i="90"/>
  <c r="G6" i="105"/>
  <c r="G11" i="98"/>
  <c r="G13" i="105"/>
  <c r="G14" i="104"/>
  <c r="G16" i="105"/>
  <c r="G13" i="114"/>
  <c r="G11" i="125"/>
  <c r="G7" i="125"/>
  <c r="G14" i="125"/>
  <c r="G5" i="125"/>
  <c r="G15" i="125"/>
  <c r="G6" i="125"/>
  <c r="G16" i="114"/>
  <c r="G11" i="97"/>
  <c r="G8" i="105"/>
  <c r="G5" i="114"/>
  <c r="G9" i="104"/>
  <c r="G12" i="104"/>
  <c r="G5" i="85"/>
  <c r="G10" i="112"/>
  <c r="G6" i="97"/>
  <c r="G13" i="85"/>
  <c r="G12" i="115"/>
  <c r="G12" i="85"/>
  <c r="G7" i="85"/>
  <c r="G16" i="85"/>
  <c r="G10" i="101"/>
  <c r="G6" i="134"/>
  <c r="G12" i="101"/>
  <c r="G11" i="101"/>
  <c r="G13" i="134"/>
  <c r="G6" i="123"/>
  <c r="G14" i="101"/>
  <c r="G8" i="101"/>
  <c r="K17" i="140"/>
  <c r="G7" i="95"/>
  <c r="G9" i="95"/>
  <c r="G13" i="116"/>
  <c r="G10" i="98"/>
  <c r="G12" i="95"/>
  <c r="G6" i="135"/>
  <c r="G10" i="95"/>
  <c r="G6" i="95"/>
  <c r="G10" i="86"/>
  <c r="G14" i="110"/>
  <c r="G11" i="116"/>
  <c r="G14" i="116"/>
  <c r="G6" i="116"/>
  <c r="G13" i="95"/>
  <c r="G7" i="130"/>
  <c r="G15" i="99"/>
  <c r="G7" i="88"/>
  <c r="G8" i="87"/>
  <c r="G8" i="91"/>
  <c r="G6" i="87"/>
  <c r="G14" i="99"/>
  <c r="G9" i="87"/>
  <c r="G16" i="122"/>
  <c r="G11" i="99"/>
  <c r="G13" i="102"/>
  <c r="G11" i="88"/>
  <c r="G14" i="87"/>
  <c r="G13" i="87"/>
  <c r="G7" i="87"/>
  <c r="G10" i="87"/>
  <c r="G9" i="99"/>
  <c r="G8" i="99"/>
  <c r="G12" i="99"/>
  <c r="G8" i="117"/>
  <c r="G5" i="116"/>
  <c r="G10" i="91"/>
  <c r="G12" i="116"/>
  <c r="G5" i="99"/>
  <c r="G7" i="96"/>
  <c r="G13" i="135"/>
  <c r="G11" i="87"/>
  <c r="G15" i="116"/>
  <c r="G12" i="87"/>
  <c r="G10" i="116"/>
  <c r="G14" i="95"/>
  <c r="G15" i="87"/>
  <c r="G9" i="120"/>
  <c r="G11" i="95"/>
  <c r="G14" i="96"/>
  <c r="G6" i="99"/>
  <c r="G7" i="128"/>
  <c r="G7" i="99"/>
  <c r="G13" i="99"/>
  <c r="G16" i="111"/>
  <c r="G10" i="99"/>
  <c r="G7" i="116"/>
  <c r="G16" i="116"/>
  <c r="G8" i="116"/>
  <c r="G12" i="100"/>
  <c r="G9" i="139"/>
  <c r="G6" i="106"/>
  <c r="G9" i="135"/>
  <c r="G12" i="96"/>
  <c r="G9" i="131"/>
  <c r="G14" i="131"/>
  <c r="G16" i="87"/>
  <c r="G5" i="95"/>
  <c r="G8" i="131"/>
  <c r="G15" i="95"/>
  <c r="G8" i="95"/>
  <c r="G13" i="139"/>
  <c r="G15" i="113"/>
  <c r="G10" i="111"/>
  <c r="G7" i="111"/>
  <c r="G14" i="139"/>
  <c r="G11" i="113"/>
  <c r="G6" i="131"/>
  <c r="K7" i="140"/>
  <c r="G6" i="139"/>
  <c r="G16" i="98"/>
  <c r="G14" i="98"/>
  <c r="K16" i="140"/>
  <c r="G7" i="98"/>
  <c r="G15" i="131"/>
  <c r="G9" i="86"/>
  <c r="G12" i="86"/>
  <c r="G5" i="131"/>
  <c r="G13" i="131"/>
  <c r="G10" i="131"/>
  <c r="G14" i="100"/>
  <c r="G8" i="139"/>
  <c r="G14" i="111"/>
  <c r="G13" i="111"/>
  <c r="G13" i="98"/>
  <c r="G16" i="110"/>
  <c r="G15" i="106"/>
  <c r="G11" i="139"/>
  <c r="G13" i="110"/>
  <c r="G16" i="139"/>
  <c r="K11" i="140"/>
  <c r="G15" i="111"/>
  <c r="G10" i="139"/>
  <c r="G5" i="98"/>
  <c r="K13" i="140"/>
  <c r="G11" i="100"/>
  <c r="G7" i="131"/>
  <c r="G14" i="86"/>
  <c r="G12" i="131"/>
  <c r="G15" i="98"/>
  <c r="G5" i="139"/>
  <c r="G12" i="139"/>
  <c r="G11" i="111"/>
  <c r="G6" i="113"/>
  <c r="G6" i="111"/>
  <c r="G9" i="111"/>
  <c r="G8" i="111"/>
  <c r="G12" i="111"/>
  <c r="G9" i="113"/>
  <c r="G15" i="139"/>
  <c r="G15" i="110"/>
  <c r="G7" i="100"/>
  <c r="K9" i="140"/>
  <c r="G5" i="113"/>
  <c r="G10" i="106"/>
  <c r="G8" i="98"/>
  <c r="G16" i="131"/>
  <c r="G12" i="98"/>
  <c r="G6" i="98"/>
  <c r="G7" i="140"/>
  <c r="G15" i="89"/>
  <c r="G16" i="91"/>
  <c r="G7" i="117"/>
  <c r="G9" i="102"/>
  <c r="G10" i="114"/>
  <c r="G14" i="123"/>
  <c r="G16" i="123"/>
  <c r="G16" i="101"/>
  <c r="G15" i="123"/>
  <c r="G7" i="114"/>
  <c r="G8" i="112"/>
  <c r="G7" i="112"/>
  <c r="G8" i="134"/>
  <c r="G5" i="112"/>
  <c r="G10" i="85"/>
  <c r="G14" i="112"/>
  <c r="G16" i="112"/>
  <c r="G10" i="130"/>
  <c r="G12" i="134"/>
  <c r="G5" i="123"/>
  <c r="G9" i="97"/>
  <c r="G9" i="85"/>
  <c r="G7" i="97"/>
  <c r="G9" i="112"/>
  <c r="G16" i="134"/>
  <c r="G11" i="115"/>
  <c r="G5" i="97"/>
  <c r="G10" i="97"/>
  <c r="G13" i="115"/>
  <c r="G14" i="97"/>
  <c r="G11" i="134"/>
  <c r="G5" i="101"/>
  <c r="G9" i="114"/>
  <c r="G7" i="134"/>
  <c r="G15" i="101"/>
  <c r="G7" i="123"/>
  <c r="G15" i="134"/>
  <c r="G14" i="85"/>
  <c r="G12" i="114"/>
  <c r="G14" i="134"/>
  <c r="G15" i="112"/>
  <c r="G11" i="123"/>
  <c r="G9" i="130"/>
  <c r="G12" i="112"/>
  <c r="G12" i="123"/>
  <c r="G5" i="134"/>
  <c r="G16" i="89"/>
  <c r="G14" i="114"/>
  <c r="G6" i="89"/>
  <c r="G6" i="115"/>
  <c r="G5" i="89"/>
  <c r="G10" i="105"/>
  <c r="G12" i="97"/>
  <c r="G16" i="97"/>
  <c r="G11" i="130"/>
  <c r="G9" i="105"/>
  <c r="G9" i="115"/>
  <c r="G5" i="115"/>
  <c r="G7" i="89"/>
  <c r="G8" i="115"/>
  <c r="G15" i="115"/>
  <c r="G7" i="115"/>
  <c r="G9" i="101"/>
  <c r="G9" i="123"/>
  <c r="G6" i="114"/>
  <c r="G10" i="123"/>
  <c r="G8" i="85"/>
  <c r="G13" i="101"/>
  <c r="G15" i="114"/>
  <c r="G8" i="114"/>
  <c r="G15" i="85"/>
  <c r="G11" i="112"/>
  <c r="G14" i="115"/>
  <c r="G6" i="85"/>
  <c r="G12" i="130"/>
  <c r="G8" i="89"/>
  <c r="G10" i="134"/>
  <c r="G6" i="112"/>
  <c r="G7" i="101"/>
  <c r="G8" i="130"/>
  <c r="G13" i="89"/>
  <c r="G16" i="115"/>
  <c r="G14" i="105"/>
  <c r="G5" i="105"/>
  <c r="G7" i="105"/>
  <c r="G15" i="97"/>
  <c r="G11" i="105"/>
  <c r="G10" i="135"/>
  <c r="G8" i="135"/>
  <c r="G5" i="135"/>
  <c r="G12" i="135"/>
  <c r="G14" i="135"/>
  <c r="G16" i="135"/>
  <c r="G11" i="135"/>
  <c r="G7" i="135"/>
  <c r="K17" i="137"/>
  <c r="K12" i="137"/>
  <c r="G13" i="128"/>
  <c r="G6" i="137"/>
  <c r="G12" i="91"/>
  <c r="G9" i="128"/>
  <c r="G16" i="137"/>
  <c r="G15" i="128"/>
  <c r="G11" i="128"/>
  <c r="K9" i="137"/>
  <c r="K5" i="137"/>
  <c r="K22" i="137" s="1"/>
  <c r="G9" i="88"/>
  <c r="K7" i="137"/>
  <c r="G15" i="88"/>
  <c r="G13" i="91"/>
  <c r="K15" i="137"/>
  <c r="K23" i="137" s="1"/>
  <c r="G6" i="117"/>
  <c r="G5" i="128"/>
  <c r="G6" i="96"/>
  <c r="G5" i="117"/>
  <c r="G10" i="128"/>
  <c r="G6" i="88"/>
  <c r="G12" i="122"/>
  <c r="G14" i="102"/>
  <c r="K8" i="137"/>
  <c r="K16" i="137"/>
  <c r="G10" i="96"/>
  <c r="G9" i="96"/>
  <c r="G13" i="96"/>
  <c r="G11" i="96"/>
  <c r="G14" i="137"/>
  <c r="K11" i="137"/>
  <c r="K13" i="137"/>
  <c r="G14" i="91"/>
  <c r="G6" i="128"/>
  <c r="G10" i="137"/>
  <c r="G13" i="88"/>
  <c r="G16" i="128"/>
  <c r="G5" i="88"/>
  <c r="G16" i="88"/>
  <c r="G12" i="102"/>
  <c r="G10" i="88"/>
  <c r="G6" i="122"/>
  <c r="G12" i="117"/>
  <c r="G5" i="96"/>
  <c r="G15" i="102"/>
  <c r="G7" i="102"/>
  <c r="G8" i="96"/>
  <c r="G15" i="96"/>
  <c r="K10" i="137"/>
  <c r="K14" i="137"/>
  <c r="G9" i="137"/>
  <c r="G16" i="102"/>
  <c r="G6" i="91"/>
  <c r="G7" i="122"/>
  <c r="G15" i="91"/>
  <c r="G14" i="128"/>
  <c r="G14" i="88"/>
  <c r="G5" i="102"/>
  <c r="G7" i="91"/>
  <c r="G11" i="117"/>
  <c r="G9" i="117"/>
  <c r="G8" i="102"/>
  <c r="G8" i="84"/>
  <c r="G8" i="123"/>
  <c r="G12" i="89"/>
  <c r="G10" i="102"/>
  <c r="G16" i="117"/>
  <c r="G10" i="122"/>
  <c r="G9" i="122"/>
  <c r="G11" i="122"/>
  <c r="G12" i="88"/>
  <c r="G13" i="117"/>
  <c r="G10" i="89"/>
  <c r="G9" i="89"/>
  <c r="G14" i="117"/>
  <c r="G13" i="122"/>
  <c r="G9" i="91"/>
  <c r="G10" i="117"/>
  <c r="G16" i="84"/>
  <c r="G11" i="89"/>
  <c r="G13" i="97"/>
  <c r="G11" i="102"/>
  <c r="G8" i="128"/>
  <c r="G15" i="122"/>
  <c r="G5" i="137"/>
  <c r="G15" i="84"/>
  <c r="G5" i="122"/>
  <c r="G13" i="113"/>
  <c r="G14" i="113"/>
  <c r="G6" i="110"/>
  <c r="G11" i="110"/>
  <c r="G9" i="100"/>
  <c r="G8" i="110"/>
  <c r="G16" i="113"/>
  <c r="G12" i="113"/>
  <c r="G12" i="137"/>
  <c r="G13" i="137"/>
  <c r="G6" i="86"/>
  <c r="G8" i="137"/>
  <c r="G7" i="113"/>
  <c r="G8" i="86"/>
  <c r="G7" i="137"/>
  <c r="G10" i="140"/>
  <c r="G8" i="113"/>
  <c r="G15" i="103"/>
  <c r="K14" i="140"/>
  <c r="G13" i="100"/>
  <c r="G14" i="106"/>
  <c r="G9" i="110"/>
  <c r="G10" i="100"/>
  <c r="G13" i="86"/>
  <c r="G7" i="110"/>
  <c r="G8" i="100"/>
  <c r="G12" i="110"/>
  <c r="G5" i="100"/>
  <c r="G13" i="103"/>
  <c r="G16" i="103"/>
  <c r="G15" i="137"/>
  <c r="G5" i="86"/>
  <c r="G11" i="137"/>
  <c r="G12" i="103"/>
  <c r="G12" i="106"/>
  <c r="G8" i="106"/>
  <c r="G13" i="106"/>
  <c r="K12" i="140"/>
  <c r="K15" i="140"/>
  <c r="G15" i="100"/>
  <c r="G5" i="110"/>
  <c r="G7" i="106"/>
  <c r="G11" i="106"/>
  <c r="G5" i="106"/>
  <c r="K6" i="140"/>
  <c r="G7" i="86"/>
  <c r="K8" i="140"/>
  <c r="K5" i="140"/>
  <c r="G16" i="86"/>
  <c r="G15" i="86"/>
  <c r="G9" i="106"/>
  <c r="G16" i="100"/>
  <c r="G9" i="92"/>
  <c r="G15" i="92"/>
  <c r="G14" i="103"/>
  <c r="G13" i="140"/>
  <c r="G8" i="109"/>
  <c r="G10" i="92"/>
  <c r="G15" i="109"/>
  <c r="G5" i="103"/>
  <c r="G10" i="109"/>
  <c r="G7" i="103"/>
  <c r="G11" i="140"/>
  <c r="G5" i="140"/>
  <c r="G12" i="129"/>
  <c r="G9" i="140"/>
  <c r="G13" i="129"/>
  <c r="G6" i="109"/>
  <c r="G13" i="92"/>
  <c r="G14" i="92"/>
  <c r="G12" i="92"/>
  <c r="G10" i="129"/>
  <c r="G5" i="120"/>
  <c r="G7" i="120"/>
  <c r="G9" i="109"/>
  <c r="G13" i="109"/>
  <c r="G6" i="92"/>
  <c r="G16" i="109"/>
  <c r="G12" i="109"/>
  <c r="G10" i="103"/>
  <c r="G6" i="103"/>
  <c r="G7" i="129"/>
  <c r="G6" i="129"/>
  <c r="G5" i="129"/>
  <c r="G9" i="129"/>
  <c r="G16" i="120"/>
  <c r="G7" i="92"/>
  <c r="G11" i="120"/>
  <c r="G15" i="140"/>
  <c r="G6" i="120"/>
  <c r="G13" i="120"/>
  <c r="G8" i="120"/>
  <c r="G12" i="120"/>
  <c r="G7" i="109"/>
  <c r="G8" i="92"/>
  <c r="G5" i="92"/>
  <c r="G11" i="92"/>
  <c r="G9" i="103"/>
  <c r="G11" i="103"/>
  <c r="G11" i="129"/>
  <c r="G14" i="129"/>
  <c r="G8" i="140"/>
  <c r="G15" i="129"/>
  <c r="G6" i="140"/>
  <c r="G5" i="109"/>
  <c r="G12" i="140"/>
  <c r="G16" i="129"/>
  <c r="G14" i="120"/>
  <c r="G16" i="140"/>
  <c r="G11" i="109"/>
  <c r="G14" i="140"/>
  <c r="G10" i="120"/>
  <c r="G7" i="132"/>
  <c r="G6" i="84"/>
  <c r="G10" i="84"/>
  <c r="G11" i="84"/>
  <c r="G13" i="84"/>
  <c r="G13" i="130"/>
  <c r="G14" i="84"/>
  <c r="G6" i="130"/>
  <c r="G5" i="84"/>
  <c r="G12" i="84"/>
  <c r="G8" i="122"/>
  <c r="G5" i="91"/>
  <c r="G7" i="84"/>
  <c r="G5" i="130"/>
  <c r="G14" i="130"/>
  <c r="G20" i="138"/>
  <c r="G16" i="83"/>
  <c r="G12" i="132"/>
  <c r="G8" i="132"/>
  <c r="G15" i="132"/>
  <c r="G15" i="130"/>
  <c r="G11" i="124"/>
  <c r="G5" i="83"/>
  <c r="G12" i="124"/>
  <c r="G13" i="124"/>
  <c r="G5" i="124"/>
  <c r="G14" i="124"/>
  <c r="G11" i="83"/>
  <c r="G14" i="83"/>
  <c r="G10" i="83"/>
  <c r="G6" i="83"/>
  <c r="G13" i="83"/>
  <c r="G9" i="124"/>
  <c r="G10" i="124"/>
  <c r="G16" i="124"/>
  <c r="G12" i="83"/>
  <c r="G15" i="124"/>
  <c r="G8" i="124"/>
  <c r="G7" i="83"/>
  <c r="G8" i="83"/>
  <c r="G7" i="124"/>
  <c r="G9" i="83"/>
  <c r="G10" i="132"/>
  <c r="G6" i="132"/>
  <c r="G5" i="132"/>
  <c r="G9" i="132"/>
  <c r="G14" i="132"/>
  <c r="G11" i="132"/>
  <c r="G13" i="132"/>
  <c r="K20" i="82"/>
  <c r="G20" i="90" l="1"/>
  <c r="G20" i="104"/>
  <c r="G20" i="125"/>
  <c r="K23" i="140"/>
  <c r="K30" i="140"/>
  <c r="G20" i="101"/>
  <c r="K25" i="140"/>
  <c r="G20" i="85"/>
  <c r="G20" i="111"/>
  <c r="G20" i="139"/>
  <c r="G20" i="95"/>
  <c r="G20" i="135"/>
  <c r="G20" i="98"/>
  <c r="G20" i="131"/>
  <c r="G20" i="87"/>
  <c r="G20" i="116"/>
  <c r="G20" i="99"/>
  <c r="K31" i="137"/>
  <c r="K31" i="140"/>
  <c r="K30" i="137"/>
  <c r="G20" i="105"/>
  <c r="K22" i="140"/>
  <c r="G20" i="115"/>
  <c r="G20" i="114"/>
  <c r="G20" i="134"/>
  <c r="G20" i="123"/>
  <c r="G20" i="112"/>
  <c r="G20" i="97"/>
  <c r="G20" i="88"/>
  <c r="G20" i="89"/>
  <c r="G20" i="96"/>
  <c r="G20" i="128"/>
  <c r="K20" i="137"/>
  <c r="G20" i="91"/>
  <c r="G20" i="137"/>
  <c r="G20" i="102"/>
  <c r="G20" i="117"/>
  <c r="G20" i="122"/>
  <c r="G20" i="106"/>
  <c r="G20" i="113"/>
  <c r="K20" i="140"/>
  <c r="G20" i="100"/>
  <c r="G20" i="110"/>
  <c r="G20" i="86"/>
  <c r="G20" i="109"/>
  <c r="G20" i="140"/>
  <c r="G20" i="129"/>
  <c r="G20" i="103"/>
  <c r="G20" i="92"/>
  <c r="G20" i="120"/>
  <c r="G20" i="84"/>
  <c r="G20" i="130"/>
  <c r="G20" i="132"/>
  <c r="G20" i="83"/>
  <c r="G20" i="1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tc={2AA30FF1-B70B-4496-8A26-F0379C7AC2E8}</author>
  </authors>
  <commentList>
    <comment ref="K2" authorId="0" shapeId="0" xr:uid="{2AA30FF1-B70B-4496-8A26-F0379C7AC2E8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tc={69C041BC-572E-49D8-BD2E-00D295E2EC0A}</author>
  </authors>
  <commentList>
    <comment ref="K2" authorId="0" shapeId="0" xr:uid="{69C041BC-572E-49D8-BD2E-00D295E2EC0A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tc={49250456-8A2F-4F90-8846-45DDC15BD191}</author>
  </authors>
  <commentList>
    <comment ref="K2" authorId="0" shapeId="0" xr:uid="{49250456-8A2F-4F90-8846-45DDC15BD191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tc={5D4E1EEE-D1C0-450B-9331-7F2429D94E4A}</author>
  </authors>
  <commentList>
    <comment ref="K2" authorId="0" shapeId="0" xr:uid="{5D4E1EEE-D1C0-450B-9331-7F2429D94E4A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tc={67431405-EAD4-4C1A-9333-F5A41277D2A3}</author>
  </authors>
  <commentList>
    <comment ref="K2" authorId="0" shapeId="0" xr:uid="{67431405-EAD4-4C1A-9333-F5A41277D2A3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tc={15EEC630-D8ED-4BFF-ACE1-BB51034CA9CA}</author>
  </authors>
  <commentList>
    <comment ref="K2" authorId="0" shapeId="0" xr:uid="{15EEC630-D8ED-4BFF-ACE1-BB51034CA9CA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tc={573C2C94-F7D5-4751-8BF5-BD186555B298}</author>
  </authors>
  <commentList>
    <comment ref="K2" authorId="0" shapeId="0" xr:uid="{573C2C94-F7D5-4751-8BF5-BD186555B298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tc={B3C5C93F-CF97-4A95-BB1B-B0469BF700DF}</author>
  </authors>
  <commentList>
    <comment ref="K2" authorId="0" shapeId="0" xr:uid="{B3C5C93F-CF97-4A95-BB1B-B0469BF700DF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tc={0F292F33-0C85-46FA-8A14-C6ABDD676F06}</author>
  </authors>
  <commentList>
    <comment ref="K2" authorId="0" shapeId="0" xr:uid="{0F292F33-0C85-46FA-8A14-C6ABDD676F06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tc={0208446C-DE05-43DE-ACF8-933C5A731431}</author>
  </authors>
  <commentList>
    <comment ref="K2" authorId="0" shapeId="0" xr:uid="{0208446C-DE05-43DE-ACF8-933C5A731431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tc={CFBC3C1C-3E0F-41A9-A703-C70A32014E87}</author>
  </authors>
  <commentList>
    <comment ref="K2" authorId="0" shapeId="0" xr:uid="{CFBC3C1C-3E0F-41A9-A703-C70A32014E8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tc={26C9362C-DD4C-4580-942D-D42784B44C20}</author>
  </authors>
  <commentList>
    <comment ref="K2" authorId="0" shapeId="0" xr:uid="{26C9362C-DD4C-4580-942D-D42784B44C20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tc={E4B82317-D4CE-41E8-A5A2-5C56EA96083E}</author>
  </authors>
  <commentList>
    <comment ref="K2" authorId="0" shapeId="0" xr:uid="{E4B82317-D4CE-41E8-A5A2-5C56EA96083E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tc={3FB20536-7386-4390-8E2F-4DF18A30B3DB}</author>
  </authors>
  <commentList>
    <comment ref="K2" authorId="0" shapeId="0" xr:uid="{3FB20536-7386-4390-8E2F-4DF18A30B3DB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tc={800BAA81-2149-4E01-AAC2-E66197B4C6AC}</author>
  </authors>
  <commentList>
    <comment ref="K2" authorId="0" shapeId="0" xr:uid="{800BAA81-2149-4E01-AAC2-E66197B4C6AC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tc={5C774CF0-9E4B-4A43-BDF3-BEE503602554}</author>
  </authors>
  <commentList>
    <comment ref="K2" authorId="0" shapeId="0" xr:uid="{5C774CF0-9E4B-4A43-BDF3-BEE503602554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tc={2B3E568F-D7F0-4DF1-B9CD-9097264D1272}</author>
  </authors>
  <commentList>
    <comment ref="K2" authorId="0" shapeId="0" xr:uid="{2B3E568F-D7F0-4DF1-B9CD-9097264D1272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tc={89350FDF-4A0E-48B3-A69E-59987C869DF6}</author>
  </authors>
  <commentList>
    <comment ref="K2" authorId="0" shapeId="0" xr:uid="{89350FDF-4A0E-48B3-A69E-59987C869DF6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tc={2FE5D17E-93A3-4C78-876C-00701B981491}</author>
  </authors>
  <commentList>
    <comment ref="K2" authorId="0" shapeId="0" xr:uid="{2FE5D17E-93A3-4C78-876C-00701B981491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tc={3FB05017-B5FC-4655-A6C7-431B9632966C}</author>
  </authors>
  <commentList>
    <comment ref="K2" authorId="0" shapeId="0" xr:uid="{3FB05017-B5FC-4655-A6C7-431B9632966C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tc={61E26A1E-A747-4BE0-9B9E-80474602586E}</author>
  </authors>
  <commentList>
    <comment ref="K2" authorId="0" shapeId="0" xr:uid="{61E26A1E-A747-4BE0-9B9E-80474602586E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tc={192D2A5B-0CC5-428F-A288-AD21868E8300}</author>
  </authors>
  <commentList>
    <comment ref="K2" authorId="0" shapeId="0" xr:uid="{192D2A5B-0CC5-428F-A288-AD21868E8300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tc={6967BE3B-450A-4A3F-8407-D173CCB0F631}</author>
  </authors>
  <commentList>
    <comment ref="K2" authorId="0" shapeId="0" xr:uid="{6967BE3B-450A-4A3F-8407-D173CCB0F631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tc={C811B716-E504-4257-BFEA-00D964E96BC2}</author>
  </authors>
  <commentList>
    <comment ref="K2" authorId="0" shapeId="0" xr:uid="{C811B716-E504-4257-BFEA-00D964E96BC2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tc={8643D8F3-8B55-4638-B1AF-92E9C407C27A}</author>
  </authors>
  <commentList>
    <comment ref="K2" authorId="0" shapeId="0" xr:uid="{8643D8F3-8B55-4638-B1AF-92E9C407C27A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tc={2D91B4B9-9BD5-489B-9CB1-35E153CECD95}</author>
  </authors>
  <commentList>
    <comment ref="K2" authorId="0" shapeId="0" xr:uid="{2D91B4B9-9BD5-489B-9CB1-35E153CECD95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tc={2EBD3323-7A4F-428D-B19D-6E8356D91E9A}</author>
  </authors>
  <commentList>
    <comment ref="K2" authorId="0" shapeId="0" xr:uid="{2EBD3323-7A4F-428D-B19D-6E8356D91E9A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tc={A8482C7F-7472-4ACE-AA3C-EFCE8A6F5E63}</author>
  </authors>
  <commentList>
    <comment ref="K2" authorId="0" shapeId="0" xr:uid="{A8482C7F-7472-4ACE-AA3C-EFCE8A6F5E63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tc={28388F7A-03BD-4717-90D4-8009432530A0}</author>
  </authors>
  <commentList>
    <comment ref="K2" authorId="0" shapeId="0" xr:uid="{28388F7A-03BD-4717-90D4-8009432530A0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tc={079B4C8E-B461-4E92-9C25-CEEC224AF619}</author>
  </authors>
  <commentList>
    <comment ref="K2" authorId="0" shapeId="0" xr:uid="{079B4C8E-B461-4E92-9C25-CEEC224AF619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tc={3F07E12D-648F-4EDC-904C-7F0A79E2E081}</author>
  </authors>
  <commentList>
    <comment ref="K2" authorId="0" shapeId="0" xr:uid="{3F07E12D-648F-4EDC-904C-7F0A79E2E081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tc={BD1A81D0-F918-4D1E-8A73-07E47C427760}</author>
  </authors>
  <commentList>
    <comment ref="K2" authorId="0" shapeId="0" xr:uid="{BD1A81D0-F918-4D1E-8A73-07E47C427760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tc={CDA3E6B9-2F97-4DF7-839A-9661270CFA15}</author>
  </authors>
  <commentList>
    <comment ref="K2" authorId="0" shapeId="0" xr:uid="{CDA3E6B9-2F97-4DF7-839A-9661270CFA15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tc={8B64813B-EC66-4B54-A37F-0BC732C09952}</author>
  </authors>
  <commentList>
    <comment ref="K2" authorId="0" shapeId="0" xr:uid="{8B64813B-EC66-4B54-A37F-0BC732C09952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tc={A6EE1682-E7B7-4336-A9EA-625A2D3D903D}</author>
  </authors>
  <commentList>
    <comment ref="K2" authorId="0" shapeId="0" xr:uid="{A6EE1682-E7B7-4336-A9EA-625A2D3D903D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tc={7FF15CD0-C595-4B2A-A81D-9C965B7B6E01}</author>
  </authors>
  <commentList>
    <comment ref="K2" authorId="0" shapeId="0" xr:uid="{7FF15CD0-C595-4B2A-A81D-9C965B7B6E01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tc={A53206E6-7BC8-406C-9095-5C46A9B0132D}</author>
  </authors>
  <commentList>
    <comment ref="K2" authorId="0" shapeId="0" xr:uid="{A53206E6-7BC8-406C-9095-5C46A9B0132D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tc={FCED4788-AF7E-4DA6-AB18-58F1937AFE81}</author>
  </authors>
  <commentList>
    <comment ref="K2" authorId="0" shapeId="0" xr:uid="{FCED4788-AF7E-4DA6-AB18-58F1937AFE81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tc={18920033-FE6C-48A5-BFF2-7E7EDBB77302}</author>
  </authors>
  <commentList>
    <comment ref="K2" authorId="0" shapeId="0" xr:uid="{18920033-FE6C-48A5-BFF2-7E7EDBB77302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tc={C581C1BC-CE4E-41FA-89C0-EBB0B979E2BB}</author>
  </authors>
  <commentList>
    <comment ref="K2" authorId="0" shapeId="0" xr:uid="{C581C1BC-CE4E-41FA-89C0-EBB0B979E2BB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tc={37BF5EB1-DF59-487F-ADC9-2C54D74A790C}</author>
  </authors>
  <commentList>
    <comment ref="K2" authorId="0" shapeId="0" xr:uid="{37BF5EB1-DF59-487F-ADC9-2C54D74A790C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tc={E14E6EB3-3001-4AA2-99C2-0D4DC0CBFEAE}</author>
  </authors>
  <commentList>
    <comment ref="K2" authorId="0" shapeId="0" xr:uid="{E14E6EB3-3001-4AA2-99C2-0D4DC0CBFEAE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tc={128C9F59-183A-4756-9ADA-C604EA295004}</author>
  </authors>
  <commentList>
    <comment ref="K2" authorId="0" shapeId="0" xr:uid="{128C9F59-183A-4756-9ADA-C604EA295004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tc={D083CACA-3256-4ED7-8117-C249B97B32F7}</author>
  </authors>
  <commentList>
    <comment ref="K2" authorId="0" shapeId="0" xr:uid="{D083CACA-3256-4ED7-8117-C249B97B32F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tc={4F289E1E-F320-47D1-B595-62B7A6220962}</author>
  </authors>
  <commentList>
    <comment ref="K2" authorId="0" shapeId="0" xr:uid="{4F289E1E-F320-47D1-B595-62B7A6220962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tc={177A2E6A-4D6F-4010-94B8-AD3CB5518327}</author>
  </authors>
  <commentList>
    <comment ref="K2" authorId="0" shapeId="0" xr:uid="{177A2E6A-4D6F-4010-94B8-AD3CB551832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tc={F3F484D8-9CB2-4A4F-8437-D32B8F0F8D03}</author>
  </authors>
  <commentList>
    <comment ref="K2" authorId="0" shapeId="0" xr:uid="{F3F484D8-9CB2-4A4F-8437-D32B8F0F8D03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tc={7A6ED286-08E6-4CB5-8762-B7958B1A3A1E}</author>
  </authors>
  <commentList>
    <comment ref="K2" authorId="0" shapeId="0" xr:uid="{7A6ED286-08E6-4CB5-8762-B7958B1A3A1E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tc={63F5AE9E-7414-483A-B7C1-42790D2AE846}</author>
  </authors>
  <commentList>
    <comment ref="K2" authorId="0" shapeId="0" xr:uid="{63F5AE9E-7414-483A-B7C1-42790D2AE846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tc={13E0583F-13C4-4296-BC4D-F77D60F5832D}</author>
  </authors>
  <commentList>
    <comment ref="K2" authorId="0" shapeId="0" xr:uid="{13E0583F-13C4-4296-BC4D-F77D60F5832D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tc={E5DF6C1C-21D6-41EC-960B-1EA0578B112B}</author>
  </authors>
  <commentList>
    <comment ref="K2" authorId="0" shapeId="0" xr:uid="{E5DF6C1C-21D6-41EC-960B-1EA0578B112B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tc={FB15B748-7F8B-4BAA-BB00-20927DC305FE}</author>
  </authors>
  <commentList>
    <comment ref="K2" authorId="0" shapeId="0" xr:uid="{FB15B748-7F8B-4BAA-BB00-20927DC305FE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tc={714BB11F-2295-4078-90C1-B4D426878A7A}</author>
  </authors>
  <commentList>
    <comment ref="K2" authorId="0" shapeId="0" xr:uid="{714BB11F-2295-4078-90C1-B4D426878A7A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tc={158F3C99-A814-451E-8F93-3211AD70B01E}</author>
  </authors>
  <commentList>
    <comment ref="K2" authorId="0" shapeId="0" xr:uid="{158F3C99-A814-451E-8F93-3211AD70B01E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Average Weight from QA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<sst xmlns="http://schemas.openxmlformats.org/spreadsheetml/2006/main" count="2406" uniqueCount="82">
  <si>
    <t>00466-PA6-WEISS</t>
  </si>
  <si>
    <t>00466-PES-WEISS</t>
  </si>
  <si>
    <t>00550-PES-SCHWARZ</t>
  </si>
  <si>
    <t>00550-PES-WEISS</t>
  </si>
  <si>
    <t>00933-PES-CHARCOAL</t>
  </si>
  <si>
    <t>00933-PES-GRUEN</t>
  </si>
  <si>
    <t>00933-PES-GRUEN-Z</t>
  </si>
  <si>
    <t>00933-PES-SCHWARZ</t>
  </si>
  <si>
    <t>00933-PES-TEALBLUE</t>
  </si>
  <si>
    <t>00940-PA6-GELB</t>
  </si>
  <si>
    <t>00940-PA6-WEISS</t>
  </si>
  <si>
    <t>01100-PES-BLAU</t>
  </si>
  <si>
    <t>01100-PES-GRUEN</t>
  </si>
  <si>
    <t>01100-PES-ORANGE</t>
  </si>
  <si>
    <t>01100-PES-ROT</t>
  </si>
  <si>
    <t>01100-PES-SCHWARZ</t>
  </si>
  <si>
    <t>01100-PES-WEISS</t>
  </si>
  <si>
    <t>01400-PA6-WEISS</t>
  </si>
  <si>
    <t>01440-PES-WEISS</t>
  </si>
  <si>
    <t>01670-PES-SCHWARZ</t>
  </si>
  <si>
    <t>01670-PES-WEISS</t>
  </si>
  <si>
    <t>01880-PA6-WEISS</t>
  </si>
  <si>
    <t>02200-PES-WEISS</t>
  </si>
  <si>
    <t>02800-PA6-WEISS</t>
  </si>
  <si>
    <t>03300-PES-WEISS</t>
  </si>
  <si>
    <t>06600-PES-WEISS</t>
  </si>
  <si>
    <t>01670-PES-SCHWARZ-S</t>
  </si>
  <si>
    <t>01100-PES-SCHWARZ-S</t>
  </si>
  <si>
    <t>00550-PES-SCHWARZ-S</t>
  </si>
  <si>
    <t>00278-PES-SCHWARZ-S</t>
  </si>
  <si>
    <t>01100-PP-SCHWARZ</t>
  </si>
  <si>
    <t>Scrap</t>
  </si>
  <si>
    <t>Shrinkage</t>
  </si>
  <si>
    <t>Calculation</t>
  </si>
  <si>
    <t>Article</t>
  </si>
  <si>
    <t>Texnor Apex</t>
  </si>
  <si>
    <t>Back to BOM</t>
  </si>
  <si>
    <t>Width behind loom</t>
  </si>
  <si>
    <t>Weight (g/m)</t>
  </si>
  <si>
    <t>Pics</t>
  </si>
  <si>
    <t>weight/yarn</t>
  </si>
  <si>
    <t>Threads</t>
  </si>
  <si>
    <t>Yarn dtex</t>
  </si>
  <si>
    <t>Type</t>
  </si>
  <si>
    <t>twisted</t>
  </si>
  <si>
    <t>Crossweave</t>
  </si>
  <si>
    <t>g/metre</t>
  </si>
  <si>
    <t>Actual (cm)</t>
  </si>
  <si>
    <t>Actual g/m cal.</t>
  </si>
  <si>
    <t>%</t>
  </si>
  <si>
    <t>BOM (g/m)</t>
  </si>
  <si>
    <t>Ground</t>
  </si>
  <si>
    <t>Grd. Marker</t>
  </si>
  <si>
    <t>Edge</t>
  </si>
  <si>
    <t>Binder</t>
  </si>
  <si>
    <t>Stuffer</t>
  </si>
  <si>
    <t>Stuffer marker</t>
  </si>
  <si>
    <t>Lock</t>
  </si>
  <si>
    <t>Catch cord</t>
  </si>
  <si>
    <t>Filling</t>
  </si>
  <si>
    <t>2nd Filling</t>
  </si>
  <si>
    <t>Total</t>
  </si>
  <si>
    <t>CUỘN</t>
  </si>
  <si>
    <t>Weft yarn</t>
  </si>
  <si>
    <t>Warp yarn 1</t>
  </si>
  <si>
    <t>Warp yarn 2</t>
  </si>
  <si>
    <t>Warp yarn</t>
  </si>
  <si>
    <t>Ground 1</t>
  </si>
  <si>
    <t>Shield</t>
  </si>
  <si>
    <t>SỐ CUỘN</t>
  </si>
  <si>
    <t>AAW</t>
  </si>
  <si>
    <t>cuộn</t>
  </si>
  <si>
    <t>THIẾU</t>
  </si>
  <si>
    <t>S</t>
  </si>
  <si>
    <t>số cuộn</t>
  </si>
  <si>
    <t>LiftAll 1T180</t>
  </si>
  <si>
    <t xml:space="preserve"> </t>
  </si>
  <si>
    <t>A806</t>
  </si>
  <si>
    <t>PE</t>
  </si>
  <si>
    <t>PP</t>
  </si>
  <si>
    <t>A804</t>
  </si>
  <si>
    <t>A802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</si>
</sst>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0.0%"/>
    <numFmt numFmtId="167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Arial"/>
      <family val="2"/>
    </font>
    <font>
      <b/>
      <sz val="11"/>
      <color rgb="FFFF0000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33">
    <xf numFmtId="0" fontId="0" fillId="0" borderId="0" xfId="0"/>
    <xf numFmtId="0" fontId="5" fillId="2" borderId="0" xfId="0" applyFont="1" applyFill="1" applyAlignment="1">
      <alignment horizontal="right"/>
    </xf>
    <xf numFmtId="0" fontId="6" fillId="0" borderId="0" xfId="0" applyFont="1"/>
    <xf numFmtId="0" fontId="5" fillId="0" borderId="0" xfId="0" applyFont="1"/>
    <xf numFmtId="0" fontId="5" fillId="2" borderId="0" xfId="0" applyFont="1" applyFill="1"/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/>
    <xf numFmtId="164" fontId="0" fillId="0" borderId="0" xfId="0" applyNumberFormat="1"/>
    <xf numFmtId="10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2" fillId="2" borderId="0" xfId="0" applyFont="1" applyFill="1"/>
    <xf numFmtId="0" fontId="3" fillId="0" borderId="0" xfId="0" applyFont="1"/>
    <xf numFmtId="165" fontId="0" fillId="2" borderId="0" xfId="0" applyNumberFormat="1" applyFill="1"/>
    <xf numFmtId="167" fontId="0" fillId="0" borderId="0" xfId="0" applyNumberFormat="1"/>
    <xf numFmtId="0" fontId="0" fillId="0" borderId="0" xfId="0" applyAlignment="1">
      <alignment horizontal="right"/>
    </xf>
    <xf numFmtId="9" fontId="0" fillId="0" borderId="0" xfId="1" applyFont="1" applyFill="1"/>
    <xf numFmtId="164" fontId="0" fillId="3" borderId="0" xfId="0" applyNumberFormat="1" applyFill="1"/>
    <xf numFmtId="165" fontId="0" fillId="0" borderId="0" xfId="1" applyNumberFormat="1" applyFont="1"/>
    <xf numFmtId="0" fontId="0" fillId="3" borderId="1" xfId="0" applyFill="1" applyBorder="1"/>
    <xf numFmtId="0" fontId="0" fillId="0" borderId="2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2" borderId="0" xfId="0" applyFont="1" applyFill="1"/>
    <xf numFmtId="0" fontId="2" fillId="0" borderId="0" xfId="0" applyFont="1"/>
    <xf numFmtId="0" fontId="7" fillId="0" borderId="0" xfId="0" applyFont="1"/>
    <xf numFmtId="0" fontId="8" fillId="0" borderId="0" xfId="0" applyFont="1"/>
    <xf numFmtId="0" fontId="0" fillId="0" borderId="2" xfId="0" applyBorder="1" applyAlignment="1">
      <alignment horizontal="center" wrapText="1"/>
    </xf>
    <xf numFmtId="2" fontId="0" fillId="0" borderId="0" xfId="0" applyNumberFormat="1"/>
    <xf numFmtId="165" fontId="3" fillId="0" borderId="0" xfId="1" applyNumberFormat="1" applyFont="1"/>
    <xf numFmtId="0" fontId="9" fillId="3" borderId="1" xfId="0" applyFont="1" applyFill="1" applyBorder="1"/>
    <xf numFmtId="0" fontId="0" fillId="4" borderId="0" xfId="0" applyFill="1"/>
    <xf numFmtId="1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99"/>
      <color rgb="FF3903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2AA30FF1-B70B-4496-8A26-F0379C7AC2E8}">
    <text>Actual Average Weight from QA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69C041BC-572E-49D8-BD2E-00D295E2EC0A}">
    <text>Actual Average Weight from QA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49250456-8A2F-4F90-8846-45DDC15BD191}">
    <text>Actual Average Weight from QA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5D4E1EEE-D1C0-450B-9331-7F2429D94E4A}">
    <text>Actual Average Weight from QA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67431405-EAD4-4C1A-9333-F5A41277D2A3}">
    <text>Actual Average Weight from QA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15EEC630-D8ED-4BFF-ACE1-BB51034CA9CA}">
    <text>Actual Average Weight from QA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573C2C94-F7D5-4751-8BF5-BD186555B298}">
    <text>Actual Average Weight from QA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B3C5C93F-CF97-4A95-BB1B-B0469BF700DF}">
    <text>Actual Average Weight from QA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0F292F33-0C85-46FA-8A14-C6ABDD676F06}">
    <text>Actual Average Weight from QA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0208446C-DE05-43DE-ACF8-933C5A731431}">
    <text>Actual Average Weight from QA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CFBC3C1C-3E0F-41A9-A703-C70A32014E87}">
    <text>Actual Average Weight from QA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26C9362C-DD4C-4580-942D-D42784B44C20}">
    <text>Actual Average Weight from QA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E4B82317-D4CE-41E8-A5A2-5C56EA96083E}">
    <text>Actual Average Weight from QA</text>
  </threadedComment>
</ThreadedComments>
</file>

<file path=xl/threadedComments/threadedComment14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3FB20536-7386-4390-8E2F-4DF18A30B3DB}">
    <text>Actual Average Weight from QA</text>
  </threadedComment>
</ThreadedComments>
</file>

<file path=xl/threadedComments/threadedComment15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800BAA81-2149-4E01-AAC2-E66197B4C6AC}">
    <text>Actual Average Weight from QA</text>
  </threadedComment>
</ThreadedComments>
</file>

<file path=xl/threadedComments/threadedComment16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5C774CF0-9E4B-4A43-BDF3-BEE503602554}">
    <text>Actual Average Weight from QA</text>
  </threadedComment>
</ThreadedComments>
</file>

<file path=xl/threadedComments/threadedComment17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2B3E568F-D7F0-4DF1-B9CD-9097264D1272}">
    <text>Actual Average Weight from QA</text>
  </threadedComment>
</ThreadedComments>
</file>

<file path=xl/threadedComments/threadedComment18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89350FDF-4A0E-48B3-A69E-59987C869DF6}">
    <text>Actual Average Weight from QA</text>
  </threadedComment>
</ThreadedComments>
</file>

<file path=xl/threadedComments/threadedComment19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2FE5D17E-93A3-4C78-876C-00701B981491}">
    <text>Actual Average Weight from QA</text>
  </threadedComment>
</ThreadedComments>
</file>

<file path=xl/threadedComments/threadedComment20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3FB05017-B5FC-4655-A6C7-431B9632966C}">
    <text>Actual Average Weight from QA</text>
  </threadedComment>
</ThreadedComments>
</file>

<file path=xl/threadedComments/threadedComment21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61E26A1E-A747-4BE0-9B9E-80474602586E}">
    <text>Actual Average Weight from QA</text>
  </threadedComment>
</ThreadedComments>
</file>

<file path=xl/threadedComments/threadedComment22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192D2A5B-0CC5-428F-A288-AD21868E8300}">
    <text>Actual Average Weight from QA</text>
  </threadedComment>
</ThreadedComments>
</file>

<file path=xl/threadedComments/threadedComment23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6967BE3B-450A-4A3F-8407-D173CCB0F631}">
    <text>Actual Average Weight from QA</text>
  </threadedComment>
</ThreadedComments>
</file>

<file path=xl/threadedComments/threadedComment24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C811B716-E504-4257-BFEA-00D964E96BC2}">
    <text>Actual Average Weight from QA</text>
  </threadedComment>
</ThreadedComments>
</file>

<file path=xl/threadedComments/threadedComment25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8643D8F3-8B55-4638-B1AF-92E9C407C27A}">
    <text>Actual Average Weight from QA</text>
  </threadedComment>
</ThreadedComments>
</file>

<file path=xl/threadedComments/threadedComment26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2D91B4B9-9BD5-489B-9CB1-35E153CECD95}">
    <text>Actual Average Weight from QA</text>
  </threadedComment>
</ThreadedComments>
</file>

<file path=xl/threadedComments/threadedComment27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2EBD3323-7A4F-428D-B19D-6E8356D91E9A}">
    <text>Actual Average Weight from QA</text>
  </threadedComment>
</ThreadedComments>
</file>

<file path=xl/threadedComments/threadedComment28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A8482C7F-7472-4ACE-AA3C-EFCE8A6F5E63}">
    <text>Actual Average Weight from QA</text>
  </threadedComment>
</ThreadedComments>
</file>

<file path=xl/threadedComments/threadedComment29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28388F7A-03BD-4717-90D4-8009432530A0}">
    <text>Actual Average Weight from QA</text>
  </threadedComment>
</ThreadedComments>
</file>

<file path=xl/threadedComments/threadedComment30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079B4C8E-B461-4E92-9C25-CEEC224AF619}">
    <text>Actual Average Weight from QA</text>
  </threadedComment>
</ThreadedComments>
</file>

<file path=xl/threadedComments/threadedComment31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3F07E12D-648F-4EDC-904C-7F0A79E2E081}">
    <text>Actual Average Weight from QA</text>
  </threadedComment>
</ThreadedComments>
</file>

<file path=xl/threadedComments/threadedComment32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BD1A81D0-F918-4D1E-8A73-07E47C427760}">
    <text>Actual Average Weight from QA</text>
  </threadedComment>
</ThreadedComments>
</file>

<file path=xl/threadedComments/threadedComment33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CDA3E6B9-2F97-4DF7-839A-9661270CFA15}">
    <text>Actual Average Weight from QA</text>
  </threadedComment>
</ThreadedComments>
</file>

<file path=xl/threadedComments/threadedComment34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8B64813B-EC66-4B54-A37F-0BC732C09952}">
    <text>Actual Average Weight from QA</text>
  </threadedComment>
</ThreadedComments>
</file>

<file path=xl/threadedComments/threadedComment35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A6EE1682-E7B7-4336-A9EA-625A2D3D903D}">
    <text>Actual Average Weight from QA</text>
  </threadedComment>
</ThreadedComments>
</file>

<file path=xl/threadedComments/threadedComment36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7FF15CD0-C595-4B2A-A81D-9C965B7B6E01}">
    <text>Actual Average Weight from QA</text>
  </threadedComment>
</ThreadedComments>
</file>

<file path=xl/threadedComments/threadedComment37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A53206E6-7BC8-406C-9095-5C46A9B0132D}">
    <text>Actual Average Weight from QA</text>
  </threadedComment>
</ThreadedComments>
</file>

<file path=xl/threadedComments/threadedComment38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FCED4788-AF7E-4DA6-AB18-58F1937AFE81}">
    <text>Actual Average Weight from QA</text>
  </threadedComment>
</ThreadedComments>
</file>

<file path=xl/threadedComments/threadedComment39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18920033-FE6C-48A5-BFF2-7E7EDBB77302}">
    <text>Actual Average Weight from QA</text>
  </threadedComment>
</ThreadedComments>
</file>

<file path=xl/threadedComments/threadedComment40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C581C1BC-CE4E-41FA-89C0-EBB0B979E2BB}">
    <text>Actual Average Weight from QA</text>
  </threadedComment>
</ThreadedComments>
</file>

<file path=xl/threadedComments/threadedComment41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37BF5EB1-DF59-487F-ADC9-2C54D74A790C}">
    <text>Actual Average Weight from QA</text>
  </threadedComment>
</ThreadedComments>
</file>

<file path=xl/threadedComments/threadedComment42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E14E6EB3-3001-4AA2-99C2-0D4DC0CBFEAE}">
    <text>Actual Average Weight from QA</text>
  </threadedComment>
</ThreadedComments>
</file>

<file path=xl/threadedComments/threadedComment43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128C9F59-183A-4756-9ADA-C604EA295004}">
    <text>Actual Average Weight from QA</text>
  </threadedComment>
</ThreadedComments>
</file>

<file path=xl/threadedComments/threadedComment44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D083CACA-3256-4ED7-8117-C249B97B32F7}">
    <text>Actual Average Weight from QA</text>
  </threadedComment>
</ThreadedComments>
</file>

<file path=xl/threadedComments/threadedComment45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4F289E1E-F320-47D1-B595-62B7A6220962}">
    <text>Actual Average Weight from QA</text>
  </threadedComment>
</ThreadedComments>
</file>

<file path=xl/threadedComments/threadedComment46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177A2E6A-4D6F-4010-94B8-AD3CB5518327}">
    <text>Actual Average Weight from QA</text>
  </threadedComment>
</ThreadedComments>
</file>

<file path=xl/threadedComments/threadedComment47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F3F484D8-9CB2-4A4F-8437-D32B8F0F8D03}">
    <text>Actual Average Weight from QA</text>
  </threadedComment>
</ThreadedComments>
</file>

<file path=xl/threadedComments/threadedComment48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7A6ED286-08E6-4CB5-8762-B7958B1A3A1E}">
    <text>Actual Average Weight from QA</text>
  </threadedComment>
</ThreadedComments>
</file>

<file path=xl/threadedComments/threadedComment49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63F5AE9E-7414-483A-B7C1-42790D2AE846}">
    <text>Actual Average Weight from QA</text>
  </threadedComment>
</ThreadedComments>
</file>

<file path=xl/threadedComments/threadedComment50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13E0583F-13C4-4296-BC4D-F77D60F5832D}">
    <text>Actual Average Weight from QA</text>
  </threadedComment>
</ThreadedComments>
</file>

<file path=xl/threadedComments/threadedComment51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E5DF6C1C-21D6-41EC-960B-1EA0578B112B}">
    <text>Actual Average Weight from QA</text>
  </threadedComment>
</ThreadedComments>
</file>

<file path=xl/threadedComments/threadedComment52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FB15B748-7F8B-4BAA-BB00-20927DC305FE}">
    <text>Actual Average Weight from QA</text>
  </threadedComment>
</ThreadedComments>
</file>

<file path=xl/threadedComments/threadedComment53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714BB11F-2295-4078-90C1-B4D426878A7A}">
    <text>Actual Average Weight from QA</text>
  </threadedComment>
</ThreadedComments>
</file>

<file path=xl/threadedComments/threadedComment54.xml><?xml version="1.0" encoding="utf-8"?>
<ThreadedComments xmlns="http://schemas.microsoft.com/office/spreadsheetml/2018/threadedcomments" xmlns:x="http://schemas.openxmlformats.org/spreadsheetml/2006/main">
  <threadedComment ref="K2" dT="2024-08-06T15:07:30.56" personId="{00000000-0000-0000-0000-000000000000}" id="{158F3C99-A814-451E-8F93-3211AD70B01E}">
    <text>Actual Average Weight from QA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7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8.xml"/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9.xml"/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1.xml"/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3.xml"/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4.xml"/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5.xml"/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6.xml"/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7.xml"/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8.xml"/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9.xml"/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0.xml"/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1.xml"/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2.xml"/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3.xml"/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4.xml"/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5.xml"/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6.xml"/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7.xml"/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8.xml"/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9.xml"/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0.xml"/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1.xml"/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2.xml"/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3.xml"/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4.xml"/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5.xml"/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6.xml"/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7.xml"/><Relationship Id="rId2" Type="http://schemas.openxmlformats.org/officeDocument/2006/relationships/comments" Target="../comments37.xml"/><Relationship Id="rId1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8.xml"/><Relationship Id="rId2" Type="http://schemas.openxmlformats.org/officeDocument/2006/relationships/comments" Target="../comments38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9.xml"/><Relationship Id="rId2" Type="http://schemas.openxmlformats.org/officeDocument/2006/relationships/comments" Target="../comments39.xml"/><Relationship Id="rId1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40.xml"/></Relationships>
</file>

<file path=xl/worksheets/_rels/sheet4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1.xml"/><Relationship Id="rId2" Type="http://schemas.openxmlformats.org/officeDocument/2006/relationships/comments" Target="../comments41.xml"/><Relationship Id="rId1" Type="http://schemas.openxmlformats.org/officeDocument/2006/relationships/vmlDrawing" Target="../drawings/vmlDrawing41.vml"/></Relationships>
</file>

<file path=xl/worksheets/_rels/sheet4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2.xml"/><Relationship Id="rId2" Type="http://schemas.openxmlformats.org/officeDocument/2006/relationships/comments" Target="../comments42.xml"/><Relationship Id="rId1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3.xml"/><Relationship Id="rId2" Type="http://schemas.openxmlformats.org/officeDocument/2006/relationships/comments" Target="../comments43.xml"/><Relationship Id="rId1" Type="http://schemas.openxmlformats.org/officeDocument/2006/relationships/vmlDrawing" Target="../drawings/vmlDrawing43.vml"/></Relationships>
</file>

<file path=xl/worksheets/_rels/sheet4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4.xml"/><Relationship Id="rId2" Type="http://schemas.openxmlformats.org/officeDocument/2006/relationships/comments" Target="../comments44.xml"/><Relationship Id="rId1" Type="http://schemas.openxmlformats.org/officeDocument/2006/relationships/vmlDrawing" Target="../drawings/vmlDrawing44.vml"/></Relationships>
</file>

<file path=xl/worksheets/_rels/sheet4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5.xml"/><Relationship Id="rId2" Type="http://schemas.openxmlformats.org/officeDocument/2006/relationships/comments" Target="../comments45.xml"/><Relationship Id="rId1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6.xml"/><Relationship Id="rId2" Type="http://schemas.openxmlformats.org/officeDocument/2006/relationships/comments" Target="../comments46.xml"/><Relationship Id="rId1" Type="http://schemas.openxmlformats.org/officeDocument/2006/relationships/vmlDrawing" Target="../drawings/vmlDrawing46.vml"/></Relationships>
</file>

<file path=xl/worksheets/_rels/sheet4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7.xml"/><Relationship Id="rId2" Type="http://schemas.openxmlformats.org/officeDocument/2006/relationships/comments" Target="../comments47.xml"/><Relationship Id="rId1" Type="http://schemas.openxmlformats.org/officeDocument/2006/relationships/vmlDrawing" Target="../drawings/vmlDrawing47.vml"/></Relationships>
</file>

<file path=xl/worksheets/_rels/sheet4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8.xml"/><Relationship Id="rId2" Type="http://schemas.openxmlformats.org/officeDocument/2006/relationships/comments" Target="../comments48.xml"/><Relationship Id="rId1" Type="http://schemas.openxmlformats.org/officeDocument/2006/relationships/vmlDrawing" Target="../drawings/vmlDrawing48.vml"/></Relationships>
</file>

<file path=xl/worksheets/_rels/sheet4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9.xml"/><Relationship Id="rId2" Type="http://schemas.openxmlformats.org/officeDocument/2006/relationships/comments" Target="../comments49.xml"/><Relationship Id="rId1" Type="http://schemas.openxmlformats.org/officeDocument/2006/relationships/vmlDrawing" Target="../drawings/vmlDrawing49.vml"/></Relationships>
</file>

<file path=xl/worksheets/_rels/sheet5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0.xml"/><Relationship Id="rId2" Type="http://schemas.openxmlformats.org/officeDocument/2006/relationships/comments" Target="../comments50.xml"/><Relationship Id="rId1" Type="http://schemas.openxmlformats.org/officeDocument/2006/relationships/vmlDrawing" Target="../drawings/vmlDrawing50.vml"/></Relationships>
</file>

<file path=xl/worksheets/_rels/sheet5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1.xml"/><Relationship Id="rId2" Type="http://schemas.openxmlformats.org/officeDocument/2006/relationships/comments" Target="../comments51.xml"/><Relationship Id="rId1" Type="http://schemas.openxmlformats.org/officeDocument/2006/relationships/vmlDrawing" Target="../drawings/vmlDrawing51.vml"/></Relationships>
</file>

<file path=xl/worksheets/_rels/sheet5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2.xml"/><Relationship Id="rId2" Type="http://schemas.openxmlformats.org/officeDocument/2006/relationships/comments" Target="../comments52.xml"/><Relationship Id="rId1" Type="http://schemas.openxmlformats.org/officeDocument/2006/relationships/vmlDrawing" Target="../drawings/vmlDrawing52.vml"/></Relationships>
</file>

<file path=xl/worksheets/_rels/sheet5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3.xml"/><Relationship Id="rId2" Type="http://schemas.openxmlformats.org/officeDocument/2006/relationships/comments" Target="../comments53.xml"/><Relationship Id="rId1" Type="http://schemas.openxmlformats.org/officeDocument/2006/relationships/vmlDrawing" Target="../drawings/vmlDrawing53.vml"/></Relationships>
</file>

<file path=xl/worksheets/_rels/sheet5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4.xml"/><Relationship Id="rId2" Type="http://schemas.openxmlformats.org/officeDocument/2006/relationships/comments" Target="../comments54.xml"/><Relationship Id="rId1" Type="http://schemas.openxmlformats.org/officeDocument/2006/relationships/vmlDrawing" Target="../drawings/vmlDrawing5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F120-C2B0-4A08-9EBA-94F3196ED01E}">
  <sheetPr codeName="Sheet9"/>
  <dimension ref="A1:M33"/>
  <sheetViews>
    <sheetView tabSelected="1" topLeftCell="A12" zoomScaleNormal="100" workbookViewId="0">
      <selection activeCell="K30" sqref="K30"/>
    </sheetView>
  </sheetViews>
  <sheetFormatPr defaultColWidth="11.7265625" defaultRowHeight="14.5" x14ac:dyDescent="0.35"/>
  <cols>
    <col min="1" max="1" width="18.26953125" bestFit="1" customWidth="1"/>
    <col min="4" max="4" width="30.81640625" customWidth="1"/>
    <col min="5" max="5" width="7.1796875" bestFit="1" customWidth="1"/>
    <col min="8" max="8" width="12.81640625" customWidth="1"/>
    <col min="9" max="9" width="15" customWidth="1"/>
    <col min="10" max="10" width="7.81640625" customWidth="1"/>
    <col min="11" max="11" width="11.269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7433081-042-00</v>
      </c>
      <c r="E1" s="2" t="s">
        <v>35</v>
      </c>
      <c r="F1" s="3"/>
      <c r="G1" s="8"/>
      <c r="M1" s="31" t="s">
        <v>36</v>
      </c>
    </row>
    <row r="2" spans="1:13" ht="29" x14ac:dyDescent="0.35">
      <c r="A2" t="s">
        <v>37</v>
      </c>
      <c r="C2" s="6"/>
      <c r="D2" s="4">
        <v>81.7</v>
      </c>
      <c r="G2" s="8"/>
      <c r="K2" s="27" t="s">
        <v>38</v>
      </c>
    </row>
    <row r="3" spans="1:13" x14ac:dyDescent="0.35">
      <c r="A3" t="s">
        <v>39</v>
      </c>
      <c r="D3" s="4">
        <v>880</v>
      </c>
      <c r="G3" s="5" t="s">
        <v>40</v>
      </c>
      <c r="K3" s="20">
        <v>58.6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404</v>
      </c>
      <c r="C5" s="7">
        <f t="shared" ref="C5:C17" si="0">IFERROR(VALUE(LEFT(D5,5)),)</f>
        <v>933</v>
      </c>
      <c r="D5" s="7" t="s">
        <v>6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104.4</v>
      </c>
      <c r="I5">
        <f>H5/100*C5/11000*B5</f>
        <v>35.774273454545458</v>
      </c>
      <c r="J5" s="19">
        <f t="shared" ref="J5:J17" si="1">IFERROR(I5/$I$20,)</f>
        <v>0.72818356993055144</v>
      </c>
      <c r="K5" s="15">
        <f>J5*$K$3*(1+$F$18)</f>
        <v>42.671557197930319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2</v>
      </c>
      <c r="E15" s="7">
        <v>1</v>
      </c>
      <c r="F15" s="14"/>
      <c r="G15" s="8" t="e">
        <f ca="1">B15*C15*E15*(1+F15)/10000*(1+$F$18)*(1+$F$19)</f>
        <v>#REF!</v>
      </c>
      <c r="H15" s="7">
        <v>489.5</v>
      </c>
      <c r="I15">
        <f t="shared" si="3"/>
        <v>0.24474999999999997</v>
      </c>
      <c r="J15" s="19">
        <f t="shared" si="1"/>
        <v>4.9818741662762556E-3</v>
      </c>
      <c r="K15" s="15">
        <f t="shared" si="4"/>
        <v>0.2919378261437886</v>
      </c>
    </row>
    <row r="16" spans="1:13" x14ac:dyDescent="0.35">
      <c r="A16" t="s">
        <v>59</v>
      </c>
      <c r="B16" s="7">
        <v>2</v>
      </c>
      <c r="C16" s="7">
        <f t="shared" si="0"/>
        <v>933</v>
      </c>
      <c r="D16" s="12" t="s">
        <v>5</v>
      </c>
      <c r="E16" s="7">
        <v>1</v>
      </c>
      <c r="F16" s="14"/>
      <c r="G16" s="8" t="e">
        <f ca="1">(C16*E16*B16*$D$2/1000*$D$3)/10000*(1+$F$18)*(1+$F$19)</f>
        <v>#REF!</v>
      </c>
      <c r="H16" s="7">
        <v>15455.5</v>
      </c>
      <c r="I16">
        <f>H16/100*C16/11000*B16/2</f>
        <v>13.109074090909091</v>
      </c>
      <c r="J16" s="19">
        <f t="shared" si="1"/>
        <v>0.26683455590317223</v>
      </c>
      <c r="K16" s="15">
        <f t="shared" si="4"/>
        <v>15.636504975925893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406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49.128097545454551</v>
      </c>
      <c r="J20" s="15"/>
      <c r="K20" s="18">
        <f>SUM(K5:K17)</f>
        <v>58.6</v>
      </c>
    </row>
    <row r="21" spans="1:13" x14ac:dyDescent="0.35">
      <c r="G21" s="9"/>
      <c r="M21" t="s">
        <v>62</v>
      </c>
    </row>
    <row r="22" spans="1:13" x14ac:dyDescent="0.35">
      <c r="D22" t="str" cm="1">
        <f t="array" ref="D22:D23">_xlfn.UNIQUE(_xlfn._xlws.FILTER(D5:D15,D5:D15&lt;&gt;""))</f>
        <v>00933-PES-GRUEN-Z</v>
      </c>
      <c r="K22" s="28">
        <f t="shared" ref="K22:K29" si="5">SUMIF($D$5:$D$17,D22,$K$5:$K$17)</f>
        <v>42.671557197930319</v>
      </c>
      <c r="M22" s="32">
        <f>SUMIF($D$5:$D$15,D22,$B$5:$B$15)</f>
        <v>404</v>
      </c>
    </row>
    <row r="23" spans="1:13" x14ac:dyDescent="0.35">
      <c r="D23" t="str">
        <v>00550-PES-SCHWARZ</v>
      </c>
      <c r="K23" s="28">
        <f t="shared" si="5"/>
        <v>0.2919378261437886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>
        <v>1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5</v>
      </c>
      <c r="K30" s="15">
        <f>K16+K17</f>
        <v>15.636504975925893</v>
      </c>
      <c r="M30">
        <v>1</v>
      </c>
    </row>
    <row r="31" spans="1:13" x14ac:dyDescent="0.35">
      <c r="A31" t="s">
        <v>64</v>
      </c>
      <c r="D31" t="s">
        <v>6</v>
      </c>
      <c r="K31" s="15">
        <f>SUMIF($D$5:$D$17,D31,$K$5:$K$17)</f>
        <v>42.671557197930319</v>
      </c>
    </row>
    <row r="32" spans="1:13" x14ac:dyDescent="0.35">
      <c r="A32" t="s">
        <v>65</v>
      </c>
      <c r="K32" s="15">
        <f>SUMIF($D$5:$D$17,D32,$K$5:$K$17)</f>
        <v>0</v>
      </c>
    </row>
    <row r="33" spans="11:11" x14ac:dyDescent="0.35">
      <c r="K33" s="15"/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21CAED0E-A1D1-4934-9E7A-1631F6670E7B}">
          <x14:formula1>
            <xm:f>#REF!</xm:f>
          </x14:formula1>
          <xm:sqref>D5:D17 D29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DE06-126D-4709-863B-C17324A7D89B}">
  <sheetPr codeName="Sheet10"/>
  <dimension ref="A1:M33"/>
  <sheetViews>
    <sheetView workbookViewId="0">
      <selection activeCell="K30" sqref="K30"/>
    </sheetView>
  </sheetViews>
  <sheetFormatPr defaultColWidth="11.7265625" defaultRowHeight="14.5" x14ac:dyDescent="0.35"/>
  <cols>
    <col min="1" max="1" width="18.26953125" bestFit="1" customWidth="1"/>
    <col min="4" max="4" width="31.2695312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1.269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7527059-042-00</v>
      </c>
      <c r="E1" s="2"/>
      <c r="F1" s="3"/>
      <c r="G1" s="8"/>
      <c r="M1" s="31" t="s">
        <v>36</v>
      </c>
    </row>
    <row r="2" spans="1:13" ht="29" x14ac:dyDescent="0.35">
      <c r="A2" t="s">
        <v>37</v>
      </c>
      <c r="C2" s="6"/>
      <c r="D2" s="4">
        <v>59.5</v>
      </c>
      <c r="G2" s="8"/>
      <c r="K2" s="27" t="s">
        <v>38</v>
      </c>
    </row>
    <row r="3" spans="1:13" x14ac:dyDescent="0.35">
      <c r="A3" t="s">
        <v>39</v>
      </c>
      <c r="D3" s="4">
        <v>1040</v>
      </c>
      <c r="G3" s="5" t="s">
        <v>40</v>
      </c>
      <c r="K3" s="20">
        <v>39.6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256</v>
      </c>
      <c r="C5" s="7">
        <f t="shared" ref="C5:C17" si="0">IFERROR(VALUE(LEFT(D5,5)),)</f>
        <v>933</v>
      </c>
      <c r="D5" s="7" t="s">
        <v>8</v>
      </c>
      <c r="E5" s="7">
        <v>1</v>
      </c>
      <c r="F5" s="14">
        <v>0.13200000000000001</v>
      </c>
      <c r="G5" s="8" t="e">
        <f ca="1">(B5*C5*E5* (1+F5))/10000*(1+$F$18)*(1+$F$19)</f>
        <v>#REF!</v>
      </c>
      <c r="H5" s="7">
        <v>112.4</v>
      </c>
      <c r="I5">
        <f>H5/100*C5/11000*B5</f>
        <v>24.405922909090908</v>
      </c>
      <c r="J5" s="19">
        <f t="shared" ref="J5:J17" si="1">IFERROR(I5/$I$20,)</f>
        <v>0.68862381305378073</v>
      </c>
      <c r="K5" s="15">
        <f>J5*$K$3*(1+$F$18)</f>
        <v>27.269502996929717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2</v>
      </c>
      <c r="E15" s="7">
        <v>1</v>
      </c>
      <c r="F15" s="14"/>
      <c r="G15" s="8" t="e">
        <f ca="1">B15*C15*E15*(1+F15)/10000*(1+$F$18)*(1+$F$19)</f>
        <v>#REF!</v>
      </c>
      <c r="H15" s="7">
        <v>530.4</v>
      </c>
      <c r="I15">
        <f t="shared" si="3"/>
        <v>0.26519999999999999</v>
      </c>
      <c r="J15" s="19">
        <f t="shared" si="1"/>
        <v>7.4827342486539529E-3</v>
      </c>
      <c r="K15" s="15">
        <f t="shared" si="4"/>
        <v>0.29631627624669654</v>
      </c>
    </row>
    <row r="16" spans="1:13" x14ac:dyDescent="0.35">
      <c r="A16" t="s">
        <v>59</v>
      </c>
      <c r="B16" s="7">
        <v>2</v>
      </c>
      <c r="C16" s="7">
        <f t="shared" si="0"/>
        <v>933</v>
      </c>
      <c r="D16" s="12" t="s">
        <v>8</v>
      </c>
      <c r="E16" s="7">
        <v>1</v>
      </c>
      <c r="F16" s="14"/>
      <c r="G16" s="8" t="e">
        <f ca="1">(C16*E16*B16*$D$2/1000*$D$3)/10000*(1+$F$18)*(1+$F$19)</f>
        <v>#REF!</v>
      </c>
      <c r="H16" s="7">
        <v>12698.3</v>
      </c>
      <c r="I16">
        <f>H16/100*C16/11000*B16/2</f>
        <v>10.770467181818182</v>
      </c>
      <c r="J16" s="19">
        <f t="shared" si="1"/>
        <v>0.30389345269756535</v>
      </c>
      <c r="K16" s="15">
        <f t="shared" si="4"/>
        <v>12.034180726823589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258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35.441590090909088</v>
      </c>
      <c r="J20" s="15"/>
      <c r="K20" s="18">
        <f>SUM(K5:K17)</f>
        <v>39.6</v>
      </c>
      <c r="M20" t="s">
        <v>62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3">_xlfn.UNIQUE(_xlfn._xlws.FILTER(D5:D15,D5:D15&lt;&gt;""))</f>
        <v>00933-PES-TEALBLUE</v>
      </c>
      <c r="K22" s="28">
        <f t="shared" ref="K22:K29" si="5">SUMIF($D$5:$D$17,D22,$K$5:$K$17)</f>
        <v>39.303683723753309</v>
      </c>
      <c r="M22" s="32">
        <f>SUMIF($D$5:$D$15,D22,$B$5:$B$15)</f>
        <v>256</v>
      </c>
    </row>
    <row r="23" spans="1:13" x14ac:dyDescent="0.35">
      <c r="D23" t="str">
        <v>00550-PES-SCHWARZ</v>
      </c>
      <c r="K23" s="28">
        <f t="shared" si="5"/>
        <v>0.29631627624669654</v>
      </c>
      <c r="M23" s="32">
        <f>SUMIF($D$5:$D$15,D23,$B$5:$B$15)</f>
        <v>1</v>
      </c>
    </row>
    <row r="24" spans="1:13" x14ac:dyDescent="0.35">
      <c r="K24" s="28">
        <f t="shared" si="5"/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59</v>
      </c>
      <c r="D30" t="s">
        <v>8</v>
      </c>
      <c r="K30" s="15">
        <f>K16+K17</f>
        <v>12.034180726823589</v>
      </c>
      <c r="M30">
        <v>1</v>
      </c>
    </row>
    <row r="31" spans="1:13" x14ac:dyDescent="0.35">
      <c r="A31" t="s">
        <v>67</v>
      </c>
      <c r="D31" t="s">
        <v>8</v>
      </c>
      <c r="K31" s="15">
        <f>SUMIF($D$5:$D$17,D31,$K$5:$K$17)</f>
        <v>39.303683723753309</v>
      </c>
    </row>
    <row r="32" spans="1:13" x14ac:dyDescent="0.35">
      <c r="K32" s="15">
        <f>SUMIF($D$5:$D$17,D32,$K$5:$K$17)</f>
        <v>0</v>
      </c>
    </row>
    <row r="33" spans="11:11" x14ac:dyDescent="0.35">
      <c r="K33" s="15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F27890E-7706-4F8B-939C-649681CEC8B5}">
          <x14:formula1>
            <xm:f>#REF!</xm:f>
          </x14:formula1>
          <xm:sqref>D5:D17 D29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73DFE-811E-4464-AF05-324B67DB7ADB}">
  <sheetPr codeName="Sheet38"/>
  <dimension ref="A1:M31"/>
  <sheetViews>
    <sheetView workbookViewId="0">
      <selection activeCell="K30" sqref="K30"/>
    </sheetView>
  </sheetViews>
  <sheetFormatPr defaultColWidth="11.7265625" defaultRowHeight="14.5" x14ac:dyDescent="0.35"/>
  <cols>
    <col min="1" max="1" width="18.26953125" bestFit="1" customWidth="1"/>
    <col min="4" max="4" width="29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1.269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7317068-000-01</v>
      </c>
      <c r="E1" s="2"/>
      <c r="F1" s="3"/>
      <c r="G1" s="8"/>
      <c r="M1" s="31" t="s">
        <v>36</v>
      </c>
    </row>
    <row r="2" spans="1:13" ht="29" x14ac:dyDescent="0.35">
      <c r="A2" t="s">
        <v>37</v>
      </c>
      <c r="C2" s="6"/>
      <c r="D2" s="4">
        <v>69.7</v>
      </c>
      <c r="G2" s="8"/>
      <c r="K2" s="27" t="s">
        <v>38</v>
      </c>
    </row>
    <row r="3" spans="1:13" x14ac:dyDescent="0.35">
      <c r="A3" t="s">
        <v>39</v>
      </c>
      <c r="D3" s="4">
        <v>1040</v>
      </c>
      <c r="G3" s="5" t="s">
        <v>40</v>
      </c>
      <c r="K3" s="20">
        <v>46.6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310</v>
      </c>
      <c r="C5" s="7">
        <f t="shared" ref="C5:C17" si="0">IFERROR(VALUE(LEFT(D5,5)),)</f>
        <v>933</v>
      </c>
      <c r="D5" s="7" t="s">
        <v>7</v>
      </c>
      <c r="E5" s="7">
        <v>1</v>
      </c>
      <c r="F5" s="14">
        <v>0.13200000000000001</v>
      </c>
      <c r="G5" s="8" t="e">
        <f ca="1">(B5*C5*E5* (1+F5))/10000*(1+$F$18)*(1+$F$19)</f>
        <v>#REF!</v>
      </c>
      <c r="H5" s="7">
        <v>112.7</v>
      </c>
      <c r="I5">
        <f>H5/100*C5/10000*B5</f>
        <v>32.596221</v>
      </c>
      <c r="J5" s="19">
        <f t="shared" ref="J5:J17" si="1">IFERROR(I5/$I$20,)</f>
        <v>0.72241138906363744</v>
      </c>
      <c r="K5" s="15">
        <f>J5*$K$3*(1+$F$18)</f>
        <v>33.664370730365505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2</v>
      </c>
      <c r="E15" s="7">
        <v>1</v>
      </c>
      <c r="F15" s="14"/>
      <c r="G15" s="8" t="e">
        <f ca="1">B15*C15*E15*(1+F15)/10000*(1+$F$18)*(1+$F$19)</f>
        <v>#REF!</v>
      </c>
      <c r="H15" s="7">
        <v>488.9</v>
      </c>
      <c r="I15">
        <f t="shared" si="3"/>
        <v>0.24444999999999997</v>
      </c>
      <c r="J15" s="19">
        <f t="shared" si="1"/>
        <v>5.417605435200791E-3</v>
      </c>
      <c r="K15" s="15">
        <f t="shared" si="4"/>
        <v>0.25246041328035684</v>
      </c>
    </row>
    <row r="16" spans="1:13" x14ac:dyDescent="0.35">
      <c r="A16" t="s">
        <v>59</v>
      </c>
      <c r="B16" s="7">
        <v>2</v>
      </c>
      <c r="C16" s="7">
        <f t="shared" si="0"/>
        <v>933</v>
      </c>
      <c r="D16" s="12" t="s">
        <v>7</v>
      </c>
      <c r="E16" s="7">
        <v>1</v>
      </c>
      <c r="F16" s="14"/>
      <c r="G16" s="8" t="e">
        <f ca="1">(C16*E16*B16*$D$2/1000*$D$3)/10000*(1+$F$18)*(1+$F$19)</f>
        <v>#REF!</v>
      </c>
      <c r="H16" s="7">
        <v>14478.9</v>
      </c>
      <c r="I16">
        <f>H16/100*C16/11000*B16/2</f>
        <v>12.280739727272726</v>
      </c>
      <c r="J16" s="19">
        <f t="shared" si="1"/>
        <v>0.2721710055011618</v>
      </c>
      <c r="K16" s="15">
        <f t="shared" si="4"/>
        <v>12.68316885635414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312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45.121410727272725</v>
      </c>
      <c r="J20" s="15"/>
      <c r="K20" s="18">
        <f>SUM(K5:K17)</f>
        <v>46.600000000000009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3">_xlfn.UNIQUE(_xlfn._xlws.FILTER(D5:D15,D5:D15&lt;&gt;""))</f>
        <v>00933-PES-SCHWARZ</v>
      </c>
      <c r="K22" s="28">
        <f t="shared" ref="K22:K29" si="5">SUMIF($D$5:$D$17,D22,$K$5:$K$17)</f>
        <v>46.347539586719648</v>
      </c>
      <c r="M22" s="28">
        <f>SUMIF($D$5:$D$15,D22,$B$5:$B$15)</f>
        <v>310</v>
      </c>
    </row>
    <row r="23" spans="1:13" x14ac:dyDescent="0.35">
      <c r="D23" t="str">
        <v>00550-PES-SCHWARZ</v>
      </c>
      <c r="K23" s="28">
        <f t="shared" si="5"/>
        <v>0.25246041328035684</v>
      </c>
      <c r="M23" s="28">
        <f>SUMIF($D$5:$D$15,D23,$B$5:$B$15)</f>
        <v>1</v>
      </c>
    </row>
    <row r="24" spans="1:13" x14ac:dyDescent="0.35">
      <c r="K24" s="28">
        <f t="shared" si="5"/>
        <v>0</v>
      </c>
      <c r="M24" s="28">
        <f>SUMIF($D$5:$D$15,D24,$B$5:$B$15)</f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7</v>
      </c>
      <c r="K30" s="15">
        <f>K16+K17</f>
        <v>12.68316885635414</v>
      </c>
    </row>
    <row r="31" spans="1:13" x14ac:dyDescent="0.35">
      <c r="A31" t="s">
        <v>64</v>
      </c>
      <c r="D31" t="s">
        <v>7</v>
      </c>
      <c r="K31">
        <f>SUMIF(D5:D13,D31,K5:K13)</f>
        <v>33.664370730365505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DE42ED-5619-48F3-A469-A13B8551737C}">
          <x14:formula1>
            <xm:f>#REF!</xm:f>
          </x14:formula1>
          <xm:sqref>D5:D17 D29:D30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74AAA-35EC-431A-9502-8EA9F37D1484}">
  <sheetPr codeName="Sheet37"/>
  <dimension ref="A1:M31"/>
  <sheetViews>
    <sheetView workbookViewId="0">
      <selection activeCell="G17" sqref="G17"/>
    </sheetView>
  </sheetViews>
  <sheetFormatPr defaultColWidth="11.7265625" defaultRowHeight="14.5" x14ac:dyDescent="0.35"/>
  <cols>
    <col min="1" max="1" width="18.26953125" bestFit="1" customWidth="1"/>
    <col min="4" max="4" width="35.2695312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1.269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7317068-000-00</v>
      </c>
      <c r="E1" s="2"/>
      <c r="F1" s="3"/>
      <c r="G1" s="8"/>
      <c r="M1" s="31" t="s">
        <v>36</v>
      </c>
    </row>
    <row r="2" spans="1:13" ht="29" x14ac:dyDescent="0.35">
      <c r="A2" t="s">
        <v>37</v>
      </c>
      <c r="C2" s="6"/>
      <c r="D2" s="4">
        <v>69.7</v>
      </c>
      <c r="G2" s="8"/>
      <c r="K2" s="27" t="s">
        <v>38</v>
      </c>
    </row>
    <row r="3" spans="1:13" x14ac:dyDescent="0.35">
      <c r="A3" t="s">
        <v>39</v>
      </c>
      <c r="D3" s="4">
        <v>1040</v>
      </c>
      <c r="G3" s="5" t="s">
        <v>40</v>
      </c>
      <c r="K3" s="20">
        <v>47.4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310</v>
      </c>
      <c r="C5" s="7">
        <f t="shared" ref="C5:C17" si="0">IFERROR(VALUE(LEFT(D5,5)),)</f>
        <v>933</v>
      </c>
      <c r="D5" s="7" t="s">
        <v>4</v>
      </c>
      <c r="E5" s="7">
        <v>1</v>
      </c>
      <c r="F5" s="14">
        <v>0.13200000000000001</v>
      </c>
      <c r="G5" s="8" t="e">
        <f ca="1">(B5*C5*E5* (1+F5))/10000*(1+$F$18)*(1+$F$19)</f>
        <v>#REF!</v>
      </c>
      <c r="H5" s="7">
        <v>113.2</v>
      </c>
      <c r="I5">
        <f>H5/100*C5/11000*B5</f>
        <v>29.764396363636369</v>
      </c>
      <c r="J5" s="19">
        <f t="shared" ref="J5:J17" si="1">IFERROR(I5/$I$20,)</f>
        <v>0.70202459258864036</v>
      </c>
      <c r="K5" s="15">
        <f>J5*$K$3*(1+$F$18)</f>
        <v>33.275965688701554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2</v>
      </c>
      <c r="E15" s="7">
        <v>1</v>
      </c>
      <c r="F15" s="14"/>
      <c r="G15" s="8" t="e">
        <f ca="1">B15*C15*E15*(1+F15)/10000*(1+$F$18)*(1+$F$19)</f>
        <v>#REF!</v>
      </c>
      <c r="H15" s="7">
        <v>522.4</v>
      </c>
      <c r="I15">
        <f t="shared" si="3"/>
        <v>0.26120000000000004</v>
      </c>
      <c r="J15" s="19">
        <f t="shared" si="1"/>
        <v>6.1606767140145154E-3</v>
      </c>
      <c r="K15" s="15">
        <f t="shared" si="4"/>
        <v>0.29201607624428805</v>
      </c>
    </row>
    <row r="16" spans="1:13" x14ac:dyDescent="0.35">
      <c r="A16" t="s">
        <v>59</v>
      </c>
      <c r="B16" s="7">
        <v>2</v>
      </c>
      <c r="C16" s="7">
        <f t="shared" si="0"/>
        <v>933</v>
      </c>
      <c r="D16" s="12" t="s">
        <v>4</v>
      </c>
      <c r="E16" s="7">
        <v>1</v>
      </c>
      <c r="F16" s="14"/>
      <c r="G16" s="8" t="e">
        <f ca="1">(C16*E16*B16*$D$2/1000*$D$3)/10000*(1+$F$18)*(1+$F$19)</f>
        <v>#REF!</v>
      </c>
      <c r="H16" s="7">
        <v>14586.9</v>
      </c>
      <c r="I16">
        <f>H16/100*C16/11000*B16/2</f>
        <v>12.372343363636364</v>
      </c>
      <c r="J16" s="19">
        <f t="shared" si="1"/>
        <v>0.2918147306973452</v>
      </c>
      <c r="K16" s="15">
        <f t="shared" si="4"/>
        <v>13.832018235054163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312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42.397939727272728</v>
      </c>
      <c r="J20" s="15"/>
      <c r="K20" s="18">
        <f>SUM(K5:K17)</f>
        <v>47.400000000000006</v>
      </c>
      <c r="M20" t="s">
        <v>62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3">_xlfn.UNIQUE(_xlfn._xlws.FILTER(D5:D15,D5:D15&lt;&gt;""))</f>
        <v>00933-PES-CHARCOAL</v>
      </c>
      <c r="K22" s="28">
        <f t="shared" ref="K22:K29" si="5">SUMIF($D$5:$D$17,D22,$K$5:$K$17)</f>
        <v>47.107983923755718</v>
      </c>
      <c r="M22" s="32">
        <f>SUMIF($D$5:$D$15,D22,$B$5:$B$15)</f>
        <v>310</v>
      </c>
    </row>
    <row r="23" spans="1:13" x14ac:dyDescent="0.35">
      <c r="D23" t="str">
        <v>00550-PES-SCHWARZ</v>
      </c>
      <c r="K23" s="28">
        <f t="shared" si="5"/>
        <v>0.29201607624428805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4</v>
      </c>
      <c r="K30" s="15">
        <f>K16+K17</f>
        <v>13.832018235054163</v>
      </c>
      <c r="M30">
        <v>1</v>
      </c>
    </row>
    <row r="31" spans="1:13" x14ac:dyDescent="0.35">
      <c r="A31" t="s">
        <v>64</v>
      </c>
      <c r="D31" t="s">
        <v>4</v>
      </c>
      <c r="K31">
        <f>SUMIF(D5:D13,D31,K5:K13)</f>
        <v>33.275965688701554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C56A200-4F91-4FF4-8EFB-779D80724A3E}">
          <x14:formula1>
            <xm:f>#REF!</xm:f>
          </x14:formula1>
          <xm:sqref>D5:D17 D29:D30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7CE4-7ABD-4C6C-895E-5911500BB75D}">
  <sheetPr codeName="Sheet3"/>
  <dimension ref="A1:M31"/>
  <sheetViews>
    <sheetView topLeftCell="A20" workbookViewId="0">
      <selection activeCell="A32" sqref="A32:K32"/>
    </sheetView>
  </sheetViews>
  <sheetFormatPr defaultColWidth="11.7265625" defaultRowHeight="14.5" x14ac:dyDescent="0.35"/>
  <cols>
    <col min="1" max="1" width="18.26953125" bestFit="1" customWidth="1"/>
    <col min="4" max="4" width="36.45312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2.4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6983039-000-00</v>
      </c>
      <c r="E1" s="2"/>
      <c r="F1" s="3" t="s">
        <v>68</v>
      </c>
      <c r="G1" s="8"/>
      <c r="M1" s="31" t="s">
        <v>36</v>
      </c>
    </row>
    <row r="2" spans="1:13" x14ac:dyDescent="0.35">
      <c r="A2" t="s">
        <v>37</v>
      </c>
      <c r="C2" s="6"/>
      <c r="D2" s="4">
        <v>42</v>
      </c>
      <c r="G2" s="8"/>
      <c r="K2" s="21" t="s">
        <v>38</v>
      </c>
    </row>
    <row r="3" spans="1:13" x14ac:dyDescent="0.35">
      <c r="A3" t="s">
        <v>39</v>
      </c>
      <c r="D3" s="4">
        <v>920</v>
      </c>
      <c r="G3" s="5" t="s">
        <v>40</v>
      </c>
      <c r="K3" s="30">
        <v>28.2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190</v>
      </c>
      <c r="C5" s="7">
        <f t="shared" ref="C5:C17" si="0">IFERROR(VALUE(LEFT(D5,5)),)</f>
        <v>1100</v>
      </c>
      <c r="D5" s="7" t="s">
        <v>27</v>
      </c>
      <c r="E5" s="7">
        <v>1</v>
      </c>
      <c r="F5" s="14">
        <v>0.09</v>
      </c>
      <c r="G5" s="8">
        <f>(B5*C5*E5* (1+F5))/10000*(1+$F$18)*(1+$F$19)</f>
        <v>22.781000000000002</v>
      </c>
      <c r="H5" s="7">
        <v>108.6</v>
      </c>
      <c r="I5">
        <f>H5/100*C5/11000*B5</f>
        <v>20.633999999999997</v>
      </c>
      <c r="J5" s="19">
        <f t="shared" ref="J5:J17" si="1">IFERROR(I5/$I$20,)</f>
        <v>0.83041544238616116</v>
      </c>
      <c r="K5" s="15">
        <f>J5*$K$3*(1+$F$18)</f>
        <v>23.417715475289743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>
        <f t="shared" ref="G6:G14" si="2">(B6*C6*E6* (1+F6))/10000*(1+$F$18)*(1+$F$19)</f>
        <v>0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>
        <f t="shared" si="2"/>
        <v>0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>
        <f t="shared" si="2"/>
        <v>0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>
        <f t="shared" si="2"/>
        <v>0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>
        <f t="shared" si="2"/>
        <v>0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>
        <f t="shared" si="2"/>
        <v>0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>
        <f t="shared" si="2"/>
        <v>0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>
        <f t="shared" si="2"/>
        <v>0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>
        <f t="shared" si="2"/>
        <v>0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278</v>
      </c>
      <c r="D15" s="7" t="s">
        <v>29</v>
      </c>
      <c r="E15" s="7">
        <v>1</v>
      </c>
      <c r="F15" s="14"/>
      <c r="G15" s="8">
        <f>B15*C15*E15*(1+F15)/10000*(1+$F$18)*(1+$F$19)</f>
        <v>2.7799999999999998E-2</v>
      </c>
      <c r="H15" s="7">
        <v>413.9</v>
      </c>
      <c r="I15">
        <f t="shared" si="3"/>
        <v>0.10460381818181817</v>
      </c>
      <c r="J15" s="19">
        <f t="shared" si="1"/>
        <v>4.2097812324675835E-3</v>
      </c>
      <c r="K15" s="15">
        <f t="shared" si="4"/>
        <v>0.11871583075558585</v>
      </c>
    </row>
    <row r="16" spans="1:13" x14ac:dyDescent="0.35">
      <c r="A16" t="s">
        <v>59</v>
      </c>
      <c r="B16" s="7">
        <v>2</v>
      </c>
      <c r="C16" s="7">
        <f t="shared" si="0"/>
        <v>550</v>
      </c>
      <c r="D16" s="12" t="s">
        <v>28</v>
      </c>
      <c r="E16" s="7">
        <v>1</v>
      </c>
      <c r="F16" s="14"/>
      <c r="G16" s="8">
        <f>(C16*E16*B16*$D$2/1000*$D$3)/10000*(1+$F$18)*(1+$F$19)</f>
        <v>4.2504</v>
      </c>
      <c r="H16" s="7">
        <v>8218.4</v>
      </c>
      <c r="I16">
        <f>H16/100*C16/11000*B16/2</f>
        <v>4.1091999999999995</v>
      </c>
      <c r="J16" s="19">
        <f t="shared" si="1"/>
        <v>0.16537477638137121</v>
      </c>
      <c r="K16" s="15">
        <f t="shared" si="4"/>
        <v>4.6635686939546677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192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>
        <v>0</v>
      </c>
      <c r="G19" s="8"/>
      <c r="I19" s="15"/>
      <c r="J19" s="15"/>
    </row>
    <row r="20" spans="1:13" x14ac:dyDescent="0.35">
      <c r="D20" s="16" t="s">
        <v>61</v>
      </c>
      <c r="G20" s="18">
        <f>SUM(G5:G17)</f>
        <v>27.059200000000001</v>
      </c>
      <c r="I20" s="18">
        <f>SUM(I5:I17)</f>
        <v>24.847803818181816</v>
      </c>
      <c r="J20" s="15"/>
      <c r="K20" s="18">
        <f>SUM(K5:K17)</f>
        <v>28.199999999999996</v>
      </c>
      <c r="M20" s="6" t="s">
        <v>69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3">_xlfn.UNIQUE(_xlfn._xlws.FILTER(D5:D15,D5:D15&lt;&gt;""))</f>
        <v>01100-PES-SCHWARZ-S</v>
      </c>
      <c r="K22" s="28">
        <f t="shared" ref="K22:K29" si="5">SUMIF($D$5:$D$17,D22,$K$5:$K$17)</f>
        <v>23.417715475289743</v>
      </c>
      <c r="M22" s="32">
        <f>SUMIF($D$5:$D$15,D22,$B$5:$B$15)</f>
        <v>190</v>
      </c>
    </row>
    <row r="23" spans="1:13" x14ac:dyDescent="0.35">
      <c r="D23" t="str">
        <v>00278-PES-SCHWARZ-S</v>
      </c>
      <c r="K23" s="28">
        <f t="shared" si="5"/>
        <v>0.11871583075558585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28</v>
      </c>
      <c r="K30" s="15">
        <f>K16+K17</f>
        <v>4.6635686939546677</v>
      </c>
      <c r="M30">
        <v>1</v>
      </c>
    </row>
    <row r="31" spans="1:13" x14ac:dyDescent="0.35">
      <c r="A31" t="s">
        <v>64</v>
      </c>
      <c r="D31" t="s">
        <v>27</v>
      </c>
      <c r="K31">
        <f>SUMIF(D5:D13,D31,K5:K13)</f>
        <v>23.417715475289743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B354A3D-7777-42AE-B5B0-4F25D261C44F}">
          <x14:formula1>
            <xm:f>#REF!</xm:f>
          </x14:formula1>
          <xm:sqref>D5:D17 D29:D30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E867A-0737-4F5D-B964-DE30A3354375}">
  <sheetPr codeName="Sheet2"/>
  <dimension ref="A1:N31"/>
  <sheetViews>
    <sheetView topLeftCell="H2" workbookViewId="0">
      <selection activeCell="N6" sqref="N6"/>
    </sheetView>
  </sheetViews>
  <sheetFormatPr defaultColWidth="11.7265625" defaultRowHeight="14.5" x14ac:dyDescent="0.35"/>
  <cols>
    <col min="1" max="1" width="18.26953125" bestFit="1" customWidth="1"/>
    <col min="4" max="4" width="32.7265625" customWidth="1"/>
    <col min="5" max="5" width="7.1796875" bestFit="1" customWidth="1"/>
    <col min="7" max="7" width="13.81640625" bestFit="1" customWidth="1"/>
    <col min="8" max="8" width="11" bestFit="1" customWidth="1"/>
    <col min="9" max="9" width="12.26953125" customWidth="1"/>
    <col min="10" max="10" width="7.81640625" customWidth="1"/>
    <col min="11" max="11" width="11.26953125" customWidth="1"/>
  </cols>
  <sheetData>
    <row r="1" spans="1:14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6741048-000-00</v>
      </c>
      <c r="E1" s="2"/>
      <c r="F1" s="3" t="s">
        <v>68</v>
      </c>
      <c r="G1" s="10">
        <v>80273902</v>
      </c>
      <c r="M1" s="31" t="s">
        <v>36</v>
      </c>
    </row>
    <row r="2" spans="1:14" x14ac:dyDescent="0.35">
      <c r="A2" t="s">
        <v>37</v>
      </c>
      <c r="C2" s="6"/>
      <c r="D2" s="4">
        <v>49.8</v>
      </c>
      <c r="G2" s="8"/>
      <c r="K2" s="21" t="s">
        <v>70</v>
      </c>
    </row>
    <row r="3" spans="1:14" x14ac:dyDescent="0.35">
      <c r="A3" t="s">
        <v>39</v>
      </c>
      <c r="D3" s="4">
        <v>630</v>
      </c>
      <c r="G3" s="5" t="s">
        <v>40</v>
      </c>
      <c r="K3" s="20">
        <v>57.5</v>
      </c>
    </row>
    <row r="4" spans="1:14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4" x14ac:dyDescent="0.35">
      <c r="A5" t="s">
        <v>51</v>
      </c>
      <c r="B5" s="7">
        <v>293</v>
      </c>
      <c r="C5" s="7">
        <f t="shared" ref="C5:C17" si="0">IFERROR(VALUE(LEFT(D5,5)),)</f>
        <v>1670</v>
      </c>
      <c r="D5" s="7" t="s">
        <v>26</v>
      </c>
      <c r="E5" s="7">
        <v>1</v>
      </c>
      <c r="F5" s="14">
        <v>0.05</v>
      </c>
      <c r="G5" s="8">
        <f>(B5*C5*E5* (1+F5))/10000*(1+$F$18)*(1+$F$19)</f>
        <v>51.377549999999999</v>
      </c>
      <c r="H5" s="7">
        <v>108.5</v>
      </c>
      <c r="I5">
        <f>H5/100*C5/11000*B5</f>
        <v>48.26375909090909</v>
      </c>
      <c r="J5" s="19">
        <f t="shared" ref="J5:J17" si="1">IFERROR(I5/$I$20,)</f>
        <v>0.93590298297453844</v>
      </c>
      <c r="K5" s="15">
        <f>J5*$K$3*(1+$F$18)</f>
        <v>53.81442152103596</v>
      </c>
      <c r="M5">
        <f>B5*1.08</f>
        <v>316.44</v>
      </c>
      <c r="N5">
        <f>N6/M6*M5</f>
        <v>52.845480000000002</v>
      </c>
    </row>
    <row r="6" spans="1:14" x14ac:dyDescent="0.35">
      <c r="A6" t="s">
        <v>52</v>
      </c>
      <c r="B6" s="7"/>
      <c r="C6" s="7">
        <f t="shared" si="0"/>
        <v>0</v>
      </c>
      <c r="D6" s="7"/>
      <c r="E6" s="7"/>
      <c r="F6" s="14"/>
      <c r="G6" s="8">
        <f t="shared" ref="G6:G14" si="2">(B6*C6*E6* (1+F6))/10000*(1+$F$18)*(1+$F$19)</f>
        <v>0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  <c r="M6">
        <v>10000</v>
      </c>
      <c r="N6">
        <v>1670</v>
      </c>
    </row>
    <row r="7" spans="1:14" x14ac:dyDescent="0.35">
      <c r="A7" t="s">
        <v>53</v>
      </c>
      <c r="B7" s="7"/>
      <c r="C7" s="7">
        <f t="shared" si="0"/>
        <v>0</v>
      </c>
      <c r="D7" s="7"/>
      <c r="E7" s="7"/>
      <c r="F7" s="14"/>
      <c r="G7" s="8">
        <f t="shared" si="2"/>
        <v>0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4" x14ac:dyDescent="0.35">
      <c r="A8" t="s">
        <v>54</v>
      </c>
      <c r="B8" s="7"/>
      <c r="C8" s="7">
        <f t="shared" si="0"/>
        <v>0</v>
      </c>
      <c r="D8" s="7"/>
      <c r="E8" s="7"/>
      <c r="F8" s="14"/>
      <c r="G8" s="8">
        <f t="shared" si="2"/>
        <v>0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4" x14ac:dyDescent="0.35">
      <c r="A9" t="s">
        <v>55</v>
      </c>
      <c r="B9" s="7"/>
      <c r="C9" s="7">
        <f t="shared" si="0"/>
        <v>0</v>
      </c>
      <c r="D9" s="7"/>
      <c r="E9" s="7"/>
      <c r="F9" s="14"/>
      <c r="G9" s="8">
        <f t="shared" si="2"/>
        <v>0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4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>
        <f t="shared" si="2"/>
        <v>0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4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>
        <f t="shared" si="2"/>
        <v>0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4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>
        <f t="shared" si="2"/>
        <v>0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4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>
        <f t="shared" si="2"/>
        <v>0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4" x14ac:dyDescent="0.35">
      <c r="A14" t="s">
        <v>57</v>
      </c>
      <c r="B14" s="7">
        <v>1</v>
      </c>
      <c r="C14" s="7">
        <f t="shared" si="0"/>
        <v>278</v>
      </c>
      <c r="D14" s="7" t="s">
        <v>29</v>
      </c>
      <c r="E14" s="7">
        <v>1</v>
      </c>
      <c r="F14" s="14"/>
      <c r="G14" s="8">
        <f t="shared" si="2"/>
        <v>2.7799999999999998E-2</v>
      </c>
      <c r="H14" s="7">
        <v>385.4</v>
      </c>
      <c r="I14">
        <f t="shared" si="3"/>
        <v>9.7401090909090896E-2</v>
      </c>
      <c r="J14" s="19">
        <f t="shared" si="1"/>
        <v>1.8887457844940798E-3</v>
      </c>
      <c r="K14" s="15">
        <f t="shared" si="4"/>
        <v>0.10860288260840958</v>
      </c>
    </row>
    <row r="15" spans="1:14" x14ac:dyDescent="0.35">
      <c r="A15" t="s">
        <v>58</v>
      </c>
      <c r="B15" s="7">
        <v>1</v>
      </c>
      <c r="C15" s="7">
        <f t="shared" si="0"/>
        <v>278</v>
      </c>
      <c r="D15" s="7" t="s">
        <v>29</v>
      </c>
      <c r="E15" s="7">
        <v>1</v>
      </c>
      <c r="F15" s="14"/>
      <c r="G15" s="8">
        <f>B15*C15*E15*(1+F15)/10000*(1+$F$18)*(1+$F$19)</f>
        <v>2.7799999999999998E-2</v>
      </c>
      <c r="H15" s="7">
        <v>469.4</v>
      </c>
      <c r="I15">
        <f t="shared" si="3"/>
        <v>0.11863018181818182</v>
      </c>
      <c r="J15" s="19">
        <f t="shared" si="1"/>
        <v>2.3004080727595257E-3</v>
      </c>
      <c r="K15" s="15">
        <f t="shared" si="4"/>
        <v>0.13227346418367272</v>
      </c>
    </row>
    <row r="16" spans="1:14" x14ac:dyDescent="0.35">
      <c r="A16" t="s">
        <v>59</v>
      </c>
      <c r="B16" s="7">
        <v>2</v>
      </c>
      <c r="C16" s="7">
        <f t="shared" si="0"/>
        <v>550</v>
      </c>
      <c r="D16" s="12" t="s">
        <v>28</v>
      </c>
      <c r="E16" s="7">
        <v>1</v>
      </c>
      <c r="F16" s="14"/>
      <c r="G16" s="8">
        <f>(C16*E16*B16*$D$2/1000*$D$3)/10000*(1+$F$18)*(1+$F$19)</f>
        <v>3.4511400000000001</v>
      </c>
      <c r="H16" s="7">
        <v>6178.8</v>
      </c>
      <c r="I16">
        <f>H16/100*C16/11000*B16/2</f>
        <v>3.0893999999999999</v>
      </c>
      <c r="J16" s="19">
        <f t="shared" si="1"/>
        <v>5.9907863168208043E-2</v>
      </c>
      <c r="K16" s="15">
        <f t="shared" si="4"/>
        <v>3.4447021321719626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296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>
        <v>0</v>
      </c>
      <c r="G19" s="8"/>
      <c r="I19" s="15"/>
      <c r="J19" s="15"/>
      <c r="M19" t="s">
        <v>69</v>
      </c>
    </row>
    <row r="20" spans="1:13" x14ac:dyDescent="0.35">
      <c r="D20" s="16" t="s">
        <v>61</v>
      </c>
      <c r="G20" s="18">
        <f>SUM(G5:G17)</f>
        <v>54.88429</v>
      </c>
      <c r="I20" s="18">
        <f>SUM(I5:I17)</f>
        <v>51.569190363636359</v>
      </c>
      <c r="J20" s="15"/>
      <c r="K20" s="18">
        <f>SUM(K5:K17)</f>
        <v>57.500000000000007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3">_xlfn.UNIQUE(_xlfn._xlws.FILTER(D5:D15,D5:D15&lt;&gt;""))</f>
        <v>01670-PES-SCHWARZ-S</v>
      </c>
      <c r="K22" s="28">
        <f t="shared" ref="K22:K29" si="5">SUMIF($D$5:$D$17,D22,$K$5:$K$17)</f>
        <v>53.81442152103596</v>
      </c>
      <c r="M22" s="32">
        <f>SUMIF($D$5:$D$15,D22,$B$5:$B$15)</f>
        <v>293</v>
      </c>
    </row>
    <row r="23" spans="1:13" x14ac:dyDescent="0.35">
      <c r="D23" t="str">
        <v>00278-PES-SCHWARZ-S</v>
      </c>
      <c r="K23" s="28">
        <f t="shared" si="5"/>
        <v>0.24087634679208231</v>
      </c>
      <c r="M23" s="32">
        <f>SUMIF($D$5:$D$15,D23,$B$5:$B$15)</f>
        <v>2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28</v>
      </c>
      <c r="K30" s="15">
        <f>K16+K17</f>
        <v>3.4447021321719626</v>
      </c>
    </row>
    <row r="31" spans="1:13" x14ac:dyDescent="0.35">
      <c r="A31" t="s">
        <v>64</v>
      </c>
      <c r="D31" t="s">
        <v>26</v>
      </c>
      <c r="K31">
        <f>SUMIF(D5:D13,D31,K5:K13)</f>
        <v>53.81442152103596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FE888F8-9225-41F5-AB3C-9DA17F4D8111}">
          <x14:formula1>
            <xm:f>#REF!</xm:f>
          </x14:formula1>
          <xm:sqref>D5:D17 D29:D30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89037-0E05-44A2-8E79-C35E09FC9316}">
  <sheetPr codeName="Sheet13"/>
  <dimension ref="A1:N31"/>
  <sheetViews>
    <sheetView workbookViewId="0">
      <selection activeCell="N5" sqref="N5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2.453125" customWidth="1"/>
  </cols>
  <sheetData>
    <row r="1" spans="1:14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6789027-048-00</v>
      </c>
      <c r="E1" s="2"/>
      <c r="F1" s="3"/>
      <c r="G1" s="8"/>
      <c r="M1" s="31" t="s">
        <v>36</v>
      </c>
    </row>
    <row r="2" spans="1:14" x14ac:dyDescent="0.35">
      <c r="A2" t="s">
        <v>37</v>
      </c>
      <c r="C2" s="6"/>
      <c r="D2" s="4">
        <v>29</v>
      </c>
      <c r="G2" s="8"/>
      <c r="K2" s="21" t="s">
        <v>38</v>
      </c>
    </row>
    <row r="3" spans="1:14" x14ac:dyDescent="0.35">
      <c r="A3" t="s">
        <v>39</v>
      </c>
      <c r="D3" s="4">
        <v>490</v>
      </c>
      <c r="G3" s="5" t="s">
        <v>40</v>
      </c>
      <c r="K3" s="20">
        <v>84.6</v>
      </c>
    </row>
    <row r="4" spans="1:14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4" x14ac:dyDescent="0.35">
      <c r="A5" t="s">
        <v>51</v>
      </c>
      <c r="B5" s="7">
        <v>118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4.2000000000000003E-2</v>
      </c>
      <c r="G5" s="8" t="e">
        <f ca="1">(B5*C5*E5* (1+F5))/10000*(1+$F$18)*(1+$F$19)</f>
        <v>#REF!</v>
      </c>
      <c r="H5" s="7">
        <v>104.4</v>
      </c>
      <c r="I5">
        <f>H5/100*C5/11000*B5</f>
        <v>36.957600000000006</v>
      </c>
      <c r="J5" s="19">
        <f t="shared" ref="J5:J17" si="1">IFERROR(I5/$I$20,)</f>
        <v>0.49201488920958308</v>
      </c>
      <c r="K5" s="15">
        <f>J5*$K$3*(1+$F$18)</f>
        <v>41.624459627130726</v>
      </c>
      <c r="N5">
        <f>3191*K31</f>
        <v>233777.25872264849</v>
      </c>
    </row>
    <row r="6" spans="1:14" x14ac:dyDescent="0.35">
      <c r="A6" t="s">
        <v>52</v>
      </c>
      <c r="B6" s="7">
        <v>5</v>
      </c>
      <c r="C6" s="7">
        <f t="shared" si="0"/>
        <v>1100</v>
      </c>
      <c r="D6" s="7" t="s">
        <v>11</v>
      </c>
      <c r="E6" s="7">
        <v>1</v>
      </c>
      <c r="F6" s="14">
        <v>4.2000000000000003E-2</v>
      </c>
      <c r="G6" s="8" t="e">
        <f t="shared" ref="G6:G14" ca="1" si="2">(B6*C6*E6* (1+F6))/10000*(1+$F$18)*(1+$F$19)</f>
        <v>#REF!</v>
      </c>
      <c r="H6" s="7">
        <v>104.3</v>
      </c>
      <c r="I6">
        <f t="shared" ref="I6:I15" si="3">H6/100*C6/11000*B6</f>
        <v>0.52149999999999996</v>
      </c>
      <c r="J6" s="19">
        <f t="shared" si="1"/>
        <v>6.9427063641253088E-3</v>
      </c>
      <c r="K6" s="15">
        <f t="shared" ref="K6:K17" si="4">J6*$K$3*(1+$F$18)</f>
        <v>0.58735295840500112</v>
      </c>
    </row>
    <row r="7" spans="1:14" x14ac:dyDescent="0.35">
      <c r="A7" t="s">
        <v>53</v>
      </c>
      <c r="B7" s="23">
        <v>11</v>
      </c>
      <c r="C7" s="7">
        <f t="shared" si="0"/>
        <v>3300</v>
      </c>
      <c r="D7" s="7" t="s">
        <v>24</v>
      </c>
      <c r="E7" s="7">
        <v>1</v>
      </c>
      <c r="F7" s="14">
        <v>4.2000000000000003E-2</v>
      </c>
      <c r="G7" s="8" t="e">
        <f t="shared" ca="1" si="2"/>
        <v>#REF!</v>
      </c>
      <c r="H7" s="7">
        <v>104.3</v>
      </c>
      <c r="I7">
        <f t="shared" si="3"/>
        <v>3.4418999999999995</v>
      </c>
      <c r="J7" s="19">
        <f t="shared" si="1"/>
        <v>4.5821862003227035E-2</v>
      </c>
      <c r="K7" s="15">
        <f t="shared" si="4"/>
        <v>3.876529525473007</v>
      </c>
    </row>
    <row r="8" spans="1:14" x14ac:dyDescent="0.35">
      <c r="A8" t="s">
        <v>54</v>
      </c>
      <c r="B8" s="7">
        <v>11</v>
      </c>
      <c r="C8" s="7">
        <f t="shared" si="0"/>
        <v>2200</v>
      </c>
      <c r="D8" s="7" t="s">
        <v>22</v>
      </c>
      <c r="E8" s="7">
        <v>1</v>
      </c>
      <c r="F8" s="14">
        <v>0.186</v>
      </c>
      <c r="G8" s="8" t="e">
        <f t="shared" ca="1" si="2"/>
        <v>#REF!</v>
      </c>
      <c r="H8" s="7">
        <v>115</v>
      </c>
      <c r="I8">
        <f t="shared" si="3"/>
        <v>2.5300000000000002</v>
      </c>
      <c r="J8" s="19">
        <f t="shared" si="1"/>
        <v>3.3681777758843782E-2</v>
      </c>
      <c r="K8" s="15">
        <f t="shared" si="4"/>
        <v>2.8494783983981837</v>
      </c>
    </row>
    <row r="9" spans="1:14" x14ac:dyDescent="0.35">
      <c r="A9" t="s">
        <v>55</v>
      </c>
      <c r="B9" s="7">
        <v>80</v>
      </c>
      <c r="C9" s="7">
        <f t="shared" si="0"/>
        <v>3300</v>
      </c>
      <c r="D9" s="7" t="s">
        <v>24</v>
      </c>
      <c r="E9" s="7">
        <v>1</v>
      </c>
      <c r="F9" s="14">
        <v>0.02</v>
      </c>
      <c r="G9" s="8" t="e">
        <f t="shared" ca="1" si="2"/>
        <v>#REF!</v>
      </c>
      <c r="H9" s="7">
        <v>102.7</v>
      </c>
      <c r="I9">
        <f t="shared" si="3"/>
        <v>24.648000000000003</v>
      </c>
      <c r="J9" s="19">
        <f t="shared" si="1"/>
        <v>0.32813773051382672</v>
      </c>
      <c r="K9" s="15">
        <f t="shared" si="4"/>
        <v>27.760452001469737</v>
      </c>
    </row>
    <row r="10" spans="1:14" x14ac:dyDescent="0.35">
      <c r="A10" t="s">
        <v>56</v>
      </c>
      <c r="B10" s="7">
        <v>2</v>
      </c>
      <c r="C10" s="7">
        <f t="shared" si="0"/>
        <v>1100</v>
      </c>
      <c r="D10" s="7" t="s">
        <v>14</v>
      </c>
      <c r="E10" s="7">
        <v>1</v>
      </c>
      <c r="F10" s="14">
        <v>1.7000000000000001E-2</v>
      </c>
      <c r="G10" s="8" t="e">
        <f t="shared" ca="1" si="2"/>
        <v>#REF!</v>
      </c>
      <c r="H10" s="7">
        <v>102.8</v>
      </c>
      <c r="I10">
        <f t="shared" si="3"/>
        <v>0.2056</v>
      </c>
      <c r="J10" s="19">
        <f t="shared" si="1"/>
        <v>2.7371436787424039E-3</v>
      </c>
      <c r="K10" s="15">
        <f t="shared" si="4"/>
        <v>0.23156235522160734</v>
      </c>
    </row>
    <row r="11" spans="1:14" x14ac:dyDescent="0.35">
      <c r="A11" t="s">
        <v>56</v>
      </c>
      <c r="B11" s="7">
        <v>1</v>
      </c>
      <c r="C11" s="7">
        <f t="shared" si="0"/>
        <v>1100</v>
      </c>
      <c r="D11" s="7" t="s">
        <v>12</v>
      </c>
      <c r="E11" s="7">
        <v>1</v>
      </c>
      <c r="F11" s="14">
        <v>1.7000000000000001E-2</v>
      </c>
      <c r="G11" s="8" t="e">
        <f t="shared" ca="1" si="2"/>
        <v>#REF!</v>
      </c>
      <c r="H11" s="7">
        <v>102.8</v>
      </c>
      <c r="I11">
        <f t="shared" si="3"/>
        <v>0.1028</v>
      </c>
      <c r="J11" s="19">
        <f t="shared" si="1"/>
        <v>1.368571839371202E-3</v>
      </c>
      <c r="K11" s="15">
        <f t="shared" si="4"/>
        <v>0.11578117761080367</v>
      </c>
    </row>
    <row r="12" spans="1:14" x14ac:dyDescent="0.35">
      <c r="A12" t="s">
        <v>56</v>
      </c>
      <c r="B12" s="7">
        <v>1</v>
      </c>
      <c r="C12" s="7">
        <f t="shared" si="0"/>
        <v>1100</v>
      </c>
      <c r="D12" s="12" t="s">
        <v>11</v>
      </c>
      <c r="E12" s="7">
        <v>1</v>
      </c>
      <c r="F12" s="14">
        <v>1.7000000000000001E-2</v>
      </c>
      <c r="G12" s="8" t="e">
        <f t="shared" ca="1" si="2"/>
        <v>#REF!</v>
      </c>
      <c r="H12" s="7">
        <v>102.8</v>
      </c>
      <c r="I12">
        <f t="shared" si="3"/>
        <v>0.1028</v>
      </c>
      <c r="J12" s="19">
        <f t="shared" si="1"/>
        <v>1.368571839371202E-3</v>
      </c>
      <c r="K12" s="15">
        <f t="shared" si="4"/>
        <v>0.11578117761080367</v>
      </c>
    </row>
    <row r="13" spans="1:14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4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4" x14ac:dyDescent="0.35">
      <c r="A15" t="s">
        <v>58</v>
      </c>
      <c r="B15" s="7">
        <v>1</v>
      </c>
      <c r="C15" s="7">
        <f t="shared" si="0"/>
        <v>1100</v>
      </c>
      <c r="D15" s="7" t="s">
        <v>16</v>
      </c>
      <c r="E15" s="7">
        <v>1</v>
      </c>
      <c r="F15" s="14"/>
      <c r="G15" s="8" t="e">
        <f ca="1">B15*C15*E15*(1+F15)/10000*(1+$F$18)*(1+$F$19)</f>
        <v>#REF!</v>
      </c>
      <c r="H15" s="7">
        <v>451.2</v>
      </c>
      <c r="I15">
        <f t="shared" si="3"/>
        <v>0.45119999999999999</v>
      </c>
      <c r="J15" s="19">
        <f t="shared" si="1"/>
        <v>6.006805582921073E-3</v>
      </c>
      <c r="K15" s="15">
        <f t="shared" si="4"/>
        <v>0.50817575231512269</v>
      </c>
    </row>
    <row r="16" spans="1:14" x14ac:dyDescent="0.35">
      <c r="A16" t="s">
        <v>59</v>
      </c>
      <c r="B16" s="7">
        <v>2</v>
      </c>
      <c r="C16" s="7">
        <f t="shared" si="0"/>
        <v>2200</v>
      </c>
      <c r="D16" s="12" t="s">
        <v>22</v>
      </c>
      <c r="E16" s="7">
        <v>1</v>
      </c>
      <c r="F16" s="14"/>
      <c r="G16" s="8" t="e">
        <f ca="1">(C16*E16*B16*$D$2/1000*$D$3)/10000*(1+$F$18)*(1+$F$19)</f>
        <v>#REF!</v>
      </c>
      <c r="H16" s="7">
        <v>3076.7</v>
      </c>
      <c r="I16">
        <f>H16/100*C16/11000*B16/2</f>
        <v>6.1533999999999995</v>
      </c>
      <c r="J16" s="19">
        <f t="shared" si="1"/>
        <v>8.191994120998787E-2</v>
      </c>
      <c r="K16" s="15">
        <f t="shared" si="4"/>
        <v>6.9304270263649732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231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75.114800000000031</v>
      </c>
      <c r="J20" s="15"/>
      <c r="K20" s="18">
        <f>SUM(K5:K17)</f>
        <v>84.599999999999952</v>
      </c>
    </row>
    <row r="21" spans="1:13" x14ac:dyDescent="0.35">
      <c r="G21" s="9"/>
      <c r="M21" t="s">
        <v>62</v>
      </c>
    </row>
    <row r="22" spans="1:13" x14ac:dyDescent="0.35">
      <c r="A22" t="s">
        <v>66</v>
      </c>
      <c r="D22" t="str" cm="1">
        <f t="array" ref="D22:D27">_xlfn.UNIQUE(_xlfn._xlws.FILTER(D5:D15,D5:D15&lt;&gt;""))</f>
        <v>03300-PES-WEISS</v>
      </c>
      <c r="K22" s="28">
        <f t="shared" ref="K22:K29" si="5">SUMIF($D$5:$D$17,D22,$K$5:$K$17)</f>
        <v>73.261441154073481</v>
      </c>
      <c r="M22" s="32">
        <f t="shared" ref="M22:M28" si="6">SUMIF($D$5:$D$15,D22,$B$5:$B$15)</f>
        <v>209</v>
      </c>
    </row>
    <row r="23" spans="1:13" x14ac:dyDescent="0.35">
      <c r="D23" t="str">
        <v>01100-PES-BLAU</v>
      </c>
      <c r="K23" s="28">
        <f t="shared" si="5"/>
        <v>0.70313413601580477</v>
      </c>
      <c r="M23" s="32">
        <f t="shared" si="6"/>
        <v>6</v>
      </c>
    </row>
    <row r="24" spans="1:13" x14ac:dyDescent="0.35">
      <c r="D24" t="str">
        <v>02200-PES-WEISS</v>
      </c>
      <c r="K24" s="28">
        <f t="shared" si="5"/>
        <v>9.7799054247631574</v>
      </c>
      <c r="M24" s="32">
        <f t="shared" si="6"/>
        <v>11</v>
      </c>
    </row>
    <row r="25" spans="1:13" x14ac:dyDescent="0.35">
      <c r="D25" t="str">
        <v>01100-PES-ROT</v>
      </c>
      <c r="K25" s="28">
        <f t="shared" si="5"/>
        <v>0.23156235522160734</v>
      </c>
      <c r="M25" s="32">
        <f t="shared" si="6"/>
        <v>2</v>
      </c>
    </row>
    <row r="26" spans="1:13" x14ac:dyDescent="0.35">
      <c r="D26" t="str">
        <v>01100-PES-GRUEN</v>
      </c>
      <c r="K26" s="28">
        <f t="shared" si="5"/>
        <v>0.11578117761080367</v>
      </c>
      <c r="M26" s="32">
        <f t="shared" si="6"/>
        <v>1</v>
      </c>
    </row>
    <row r="27" spans="1:13" x14ac:dyDescent="0.35">
      <c r="D27" t="str">
        <v>01100-PES-WEISS</v>
      </c>
      <c r="K27" s="28">
        <f t="shared" si="5"/>
        <v>0.50817575231512269</v>
      </c>
      <c r="M27" s="32">
        <f t="shared" si="6"/>
        <v>1</v>
      </c>
    </row>
    <row r="28" spans="1:13" x14ac:dyDescent="0.35">
      <c r="K28" s="28">
        <f t="shared" si="5"/>
        <v>0</v>
      </c>
      <c r="M28" s="32">
        <f t="shared" si="6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22</v>
      </c>
      <c r="K30" s="15">
        <f>K16+K17</f>
        <v>6.9304270263649732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73.261441154073481</v>
      </c>
    </row>
  </sheetData>
  <sortState xmlns:xlrd2="http://schemas.microsoft.com/office/spreadsheetml/2017/richdata2" ref="D31:D34">
    <sortCondition descending="1" ref="D30:D34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02A97F-5301-4E33-B48F-81A89194E5E1}">
          <x14:formula1>
            <xm:f>#REF!</xm:f>
          </x14:formula1>
          <xm:sqref>D5:D17 D29:D30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8BAB9-3889-43D4-9693-C692C335BC49}">
  <sheetPr codeName="Sheet14"/>
  <dimension ref="A1:M31"/>
  <sheetViews>
    <sheetView workbookViewId="0">
      <selection activeCell="K32" sqref="K32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4.4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6789051-048-00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55</v>
      </c>
      <c r="G2" s="8"/>
      <c r="K2" s="21" t="s">
        <v>38</v>
      </c>
    </row>
    <row r="3" spans="1:13" x14ac:dyDescent="0.35">
      <c r="A3" t="s">
        <v>39</v>
      </c>
      <c r="D3" s="4">
        <v>490</v>
      </c>
      <c r="G3" s="5" t="s">
        <v>40</v>
      </c>
      <c r="K3" s="20">
        <v>154.9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12">
        <v>238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0.04</v>
      </c>
      <c r="G5" s="8" t="e">
        <f ca="1">(B5*C5*E5* (1+F5))/10000*(1+$F$18)*(1+$F$19)</f>
        <v>#REF!</v>
      </c>
      <c r="H5" s="7">
        <v>104.2</v>
      </c>
      <c r="I5">
        <f>H5/100*C5/11000*B5</f>
        <v>74.398799999999994</v>
      </c>
      <c r="J5" s="19">
        <f t="shared" ref="J5:J17" si="1">IFERROR(I5/$I$20,)</f>
        <v>0.51444941615272766</v>
      </c>
      <c r="K5" s="15">
        <f>J5*$K$3*(1+$F$18)</f>
        <v>79.68821456205751</v>
      </c>
    </row>
    <row r="6" spans="1:13" x14ac:dyDescent="0.35">
      <c r="A6" t="s">
        <v>52</v>
      </c>
      <c r="B6" s="12">
        <v>5</v>
      </c>
      <c r="C6" s="7">
        <f t="shared" si="0"/>
        <v>1100</v>
      </c>
      <c r="D6" s="7" t="s">
        <v>11</v>
      </c>
      <c r="E6" s="7">
        <v>1</v>
      </c>
      <c r="F6" s="14">
        <v>4.2000000000000003E-2</v>
      </c>
      <c r="G6" s="8" t="e">
        <f t="shared" ref="G6:G14" ca="1" si="2">(B6*C6*E6* (1+F6))/10000*(1+$F$18)*(1+$F$19)</f>
        <v>#REF!</v>
      </c>
      <c r="H6" s="7">
        <v>104.1</v>
      </c>
      <c r="I6">
        <f t="shared" ref="I6:I15" si="3">H6/100*C6/11000*B6</f>
        <v>0.52049999999999996</v>
      </c>
      <c r="J6" s="19">
        <f t="shared" si="1"/>
        <v>3.5991295707389734E-3</v>
      </c>
      <c r="K6" s="15">
        <f t="shared" ref="K6:K17" si="4">J6*$K$3*(1+$F$18)</f>
        <v>0.55750517050746695</v>
      </c>
    </row>
    <row r="7" spans="1:13" x14ac:dyDescent="0.35">
      <c r="A7" t="s">
        <v>53</v>
      </c>
      <c r="B7" s="12">
        <v>11</v>
      </c>
      <c r="C7" s="7">
        <f t="shared" si="0"/>
        <v>3300</v>
      </c>
      <c r="D7" s="7" t="s">
        <v>24</v>
      </c>
      <c r="E7" s="7">
        <v>1</v>
      </c>
      <c r="F7" s="14"/>
      <c r="G7" s="8" t="e">
        <f t="shared" ca="1" si="2"/>
        <v>#REF!</v>
      </c>
      <c r="H7" s="7">
        <v>104.5</v>
      </c>
      <c r="I7">
        <f t="shared" si="3"/>
        <v>3.4484999999999992</v>
      </c>
      <c r="J7" s="19">
        <f t="shared" si="1"/>
        <v>2.3845529922561667E-2</v>
      </c>
      <c r="K7" s="15">
        <f t="shared" si="4"/>
        <v>3.6936725850048022</v>
      </c>
    </row>
    <row r="8" spans="1:13" x14ac:dyDescent="0.35">
      <c r="A8" t="s">
        <v>54</v>
      </c>
      <c r="B8" s="12">
        <v>21</v>
      </c>
      <c r="C8" s="7">
        <f t="shared" si="0"/>
        <v>2200</v>
      </c>
      <c r="D8" s="7" t="s">
        <v>22</v>
      </c>
      <c r="E8" s="7">
        <v>1</v>
      </c>
      <c r="F8" s="14">
        <v>0.13300000000000001</v>
      </c>
      <c r="G8" s="8" t="e">
        <f t="shared" ca="1" si="2"/>
        <v>#REF!</v>
      </c>
      <c r="H8" s="7">
        <v>113.1</v>
      </c>
      <c r="I8">
        <f t="shared" si="3"/>
        <v>4.7501999999999995</v>
      </c>
      <c r="J8" s="19">
        <f t="shared" si="1"/>
        <v>3.2846465488807437E-2</v>
      </c>
      <c r="K8" s="15">
        <f t="shared" si="4"/>
        <v>5.0879175042162723</v>
      </c>
    </row>
    <row r="9" spans="1:13" x14ac:dyDescent="0.35">
      <c r="A9" t="s">
        <v>55</v>
      </c>
      <c r="B9" s="12">
        <v>160</v>
      </c>
      <c r="C9" s="7">
        <f t="shared" si="0"/>
        <v>3300</v>
      </c>
      <c r="D9" s="7" t="s">
        <v>24</v>
      </c>
      <c r="E9" s="7">
        <v>1</v>
      </c>
      <c r="F9" s="14">
        <v>2.4E-2</v>
      </c>
      <c r="G9" s="8" t="e">
        <f t="shared" ca="1" si="2"/>
        <v>#REF!</v>
      </c>
      <c r="H9" s="7">
        <v>102.6</v>
      </c>
      <c r="I9">
        <f t="shared" si="3"/>
        <v>49.248000000000005</v>
      </c>
      <c r="J9" s="19">
        <f t="shared" si="1"/>
        <v>0.34053781575360803</v>
      </c>
      <c r="K9" s="15">
        <f t="shared" si="4"/>
        <v>52.749307660233889</v>
      </c>
    </row>
    <row r="10" spans="1:13" x14ac:dyDescent="0.35">
      <c r="A10" t="s">
        <v>56</v>
      </c>
      <c r="B10" s="12">
        <v>3</v>
      </c>
      <c r="C10" s="7">
        <f t="shared" si="0"/>
        <v>1100</v>
      </c>
      <c r="D10" s="7" t="s">
        <v>14</v>
      </c>
      <c r="E10" s="7">
        <v>1</v>
      </c>
      <c r="F10" s="14">
        <v>2.3E-2</v>
      </c>
      <c r="G10" s="8" t="e">
        <f t="shared" ca="1" si="2"/>
        <v>#REF!</v>
      </c>
      <c r="H10" s="7">
        <v>102.6</v>
      </c>
      <c r="I10">
        <f t="shared" si="3"/>
        <v>0.30780000000000002</v>
      </c>
      <c r="J10" s="19">
        <f t="shared" si="1"/>
        <v>2.1283613484600499E-3</v>
      </c>
      <c r="K10" s="15">
        <f t="shared" si="4"/>
        <v>0.32968317287646176</v>
      </c>
    </row>
    <row r="11" spans="1:13" x14ac:dyDescent="0.35">
      <c r="A11" t="s">
        <v>56</v>
      </c>
      <c r="B11" s="12">
        <v>1</v>
      </c>
      <c r="C11" s="7">
        <f t="shared" si="0"/>
        <v>1100</v>
      </c>
      <c r="D11" s="7" t="s">
        <v>12</v>
      </c>
      <c r="E11" s="7">
        <v>1</v>
      </c>
      <c r="F11" s="14">
        <v>2.3E-2</v>
      </c>
      <c r="G11" s="8" t="e">
        <f t="shared" ca="1" si="2"/>
        <v>#REF!</v>
      </c>
      <c r="H11" s="7">
        <v>102.7</v>
      </c>
      <c r="I11">
        <f t="shared" si="3"/>
        <v>0.1027</v>
      </c>
      <c r="J11" s="19">
        <f t="shared" si="1"/>
        <v>7.1014525824186856E-4</v>
      </c>
      <c r="K11" s="15">
        <f t="shared" si="4"/>
        <v>0.11000150050166545</v>
      </c>
    </row>
    <row r="12" spans="1:13" x14ac:dyDescent="0.35">
      <c r="A12" t="s">
        <v>56</v>
      </c>
      <c r="B12" s="12">
        <v>1</v>
      </c>
      <c r="C12" s="7">
        <f t="shared" si="0"/>
        <v>1100</v>
      </c>
      <c r="D12" s="7" t="s">
        <v>11</v>
      </c>
      <c r="E12" s="7">
        <v>1</v>
      </c>
      <c r="F12" s="14">
        <v>2.3E-2</v>
      </c>
      <c r="G12" s="8" t="e">
        <f t="shared" ca="1" si="2"/>
        <v>#REF!</v>
      </c>
      <c r="H12" s="7">
        <v>102.7</v>
      </c>
      <c r="I12">
        <f t="shared" si="3"/>
        <v>0.1027</v>
      </c>
      <c r="J12" s="19">
        <f t="shared" si="1"/>
        <v>7.1014525824186856E-4</v>
      </c>
      <c r="K12" s="15">
        <f t="shared" si="4"/>
        <v>0.11000150050166545</v>
      </c>
    </row>
    <row r="13" spans="1:13" x14ac:dyDescent="0.35">
      <c r="A13" t="s">
        <v>56</v>
      </c>
      <c r="B13" s="12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1100</v>
      </c>
      <c r="D15" s="7" t="s">
        <v>16</v>
      </c>
      <c r="E15" s="7">
        <v>1</v>
      </c>
      <c r="F15" s="14"/>
      <c r="G15" s="8" t="e">
        <f ca="1">B15*C15*E15*(1+F15)/10000*(1+$F$18)*(1+$F$19)</f>
        <v>#REF!</v>
      </c>
      <c r="H15" s="7">
        <v>422.5</v>
      </c>
      <c r="I15">
        <f t="shared" si="3"/>
        <v>0.42249999999999999</v>
      </c>
      <c r="J15" s="19">
        <f t="shared" si="1"/>
        <v>2.9214836573241425E-3</v>
      </c>
      <c r="K15" s="15">
        <f t="shared" si="4"/>
        <v>0.45253781851950969</v>
      </c>
    </row>
    <row r="16" spans="1:13" x14ac:dyDescent="0.35">
      <c r="A16" t="s">
        <v>59</v>
      </c>
      <c r="B16" s="7">
        <v>2</v>
      </c>
      <c r="C16" s="7">
        <f t="shared" si="0"/>
        <v>2200</v>
      </c>
      <c r="D16" s="12" t="s">
        <v>22</v>
      </c>
      <c r="E16" s="7">
        <v>1</v>
      </c>
      <c r="F16" s="14"/>
      <c r="G16" s="8" t="e">
        <f ca="1">(C16*E16*B16*$D$2/1000*$D$3)/10000*(1+$F$18)*(1+$F$19)</f>
        <v>#REF!</v>
      </c>
      <c r="H16" s="7">
        <v>5658.3</v>
      </c>
      <c r="I16">
        <f>H16/100*C16/11000*B16/2</f>
        <v>11.316599999999999</v>
      </c>
      <c r="J16" s="19">
        <f t="shared" si="1"/>
        <v>7.8251507589288505E-2</v>
      </c>
      <c r="K16" s="15">
        <f t="shared" si="4"/>
        <v>12.121158525580789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442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144.61829999999998</v>
      </c>
      <c r="J20" s="15"/>
      <c r="K20" s="18">
        <f>SUM(K5:K17)</f>
        <v>154.90000000000003</v>
      </c>
      <c r="M20" t="s">
        <v>71</v>
      </c>
    </row>
    <row r="21" spans="1:13" x14ac:dyDescent="0.35">
      <c r="A21" t="s">
        <v>72</v>
      </c>
      <c r="G21" s="9"/>
    </row>
    <row r="22" spans="1:13" x14ac:dyDescent="0.35">
      <c r="D22" t="str" cm="1">
        <f t="array" ref="D22:D27">_xlfn.UNIQUE(_xlfn._xlws.FILTER(D5:D15,D5:D15&lt;&gt;""))</f>
        <v>03300-PES-WEISS</v>
      </c>
      <c r="K22" s="28">
        <f t="shared" ref="K22:K29" si="5">SUMIF($D$5:$D$17,D22,$K$5:$K$17)</f>
        <v>136.1311948072962</v>
      </c>
      <c r="M22" s="28">
        <f t="shared" ref="M22:M28" si="6">SUMIF($D$5:$D$15,D22,$B$5:$B$15)</f>
        <v>409</v>
      </c>
    </row>
    <row r="23" spans="1:13" x14ac:dyDescent="0.35">
      <c r="D23" t="str">
        <v>01100-PES-BLAU</v>
      </c>
      <c r="K23" s="28">
        <f t="shared" si="5"/>
        <v>0.66750667100913241</v>
      </c>
      <c r="M23" s="28">
        <f t="shared" si="6"/>
        <v>6</v>
      </c>
    </row>
    <row r="24" spans="1:13" x14ac:dyDescent="0.35">
      <c r="D24" t="str">
        <v>02200-PES-WEISS</v>
      </c>
      <c r="K24" s="28">
        <f t="shared" si="5"/>
        <v>17.20907602979706</v>
      </c>
      <c r="M24" s="28">
        <f t="shared" si="6"/>
        <v>21</v>
      </c>
    </row>
    <row r="25" spans="1:13" x14ac:dyDescent="0.35">
      <c r="D25" t="str">
        <v>01100-PES-ROT</v>
      </c>
      <c r="K25" s="28">
        <f t="shared" si="5"/>
        <v>0.32968317287646176</v>
      </c>
      <c r="M25" s="28">
        <f t="shared" si="6"/>
        <v>3</v>
      </c>
    </row>
    <row r="26" spans="1:13" x14ac:dyDescent="0.35">
      <c r="D26" t="str">
        <v>01100-PES-GRUEN</v>
      </c>
      <c r="K26" s="28">
        <f t="shared" si="5"/>
        <v>0.11000150050166545</v>
      </c>
      <c r="M26" s="28">
        <f t="shared" si="6"/>
        <v>1</v>
      </c>
    </row>
    <row r="27" spans="1:13" x14ac:dyDescent="0.35">
      <c r="D27" t="str">
        <v>01100-PES-WEISS</v>
      </c>
      <c r="K27" s="28">
        <f t="shared" si="5"/>
        <v>0.45253781851950969</v>
      </c>
      <c r="M27" s="28">
        <f t="shared" si="6"/>
        <v>1</v>
      </c>
    </row>
    <row r="28" spans="1:13" x14ac:dyDescent="0.35">
      <c r="K28" s="28">
        <f t="shared" si="5"/>
        <v>0</v>
      </c>
      <c r="M28" s="28">
        <f t="shared" si="6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22</v>
      </c>
      <c r="K30" s="15">
        <f>K16+K17</f>
        <v>12.121158525580789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136.1311948072962</v>
      </c>
    </row>
  </sheetData>
  <sortState xmlns:xlrd2="http://schemas.microsoft.com/office/spreadsheetml/2017/richdata2" ref="D31:D34">
    <sortCondition descending="1" ref="D30:D34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D4391C4-36A6-4626-804A-7C051ECB5D6B}">
          <x14:formula1>
            <xm:f>#REF!</xm:f>
          </x14:formula1>
          <xm:sqref>D5:D17 D29:D30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CD5EC-B5DB-45B5-928E-3F2C5E0D554E}">
  <sheetPr codeName="Sheet15"/>
  <dimension ref="A1:M31"/>
  <sheetViews>
    <sheetView topLeftCell="A11" workbookViewId="0">
      <selection activeCell="D31" sqref="D3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4.7265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6789076-048-00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83</v>
      </c>
      <c r="G2" s="8"/>
      <c r="K2" s="21" t="s">
        <v>38</v>
      </c>
    </row>
    <row r="3" spans="1:13" x14ac:dyDescent="0.35">
      <c r="A3" t="s">
        <v>39</v>
      </c>
      <c r="D3" s="4">
        <v>500</v>
      </c>
      <c r="G3" s="5" t="s">
        <v>40</v>
      </c>
      <c r="K3" s="20">
        <v>240.8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181</v>
      </c>
      <c r="C5" s="7">
        <f t="shared" ref="C5:C17" si="0">IFERROR(VALUE(LEFT(D5,5)),)</f>
        <v>6600</v>
      </c>
      <c r="D5" s="7" t="s">
        <v>25</v>
      </c>
      <c r="E5" s="7">
        <v>1</v>
      </c>
      <c r="F5" s="14">
        <v>4.2000000000000003E-2</v>
      </c>
      <c r="G5" s="8" t="e">
        <f ca="1">(B5*C5*E5* (1+F5))/10000*(1+$F$18)*(1+$F$19)</f>
        <v>#REF!</v>
      </c>
      <c r="H5" s="7">
        <v>104.8</v>
      </c>
      <c r="I5">
        <f>H5/100*C5/11000*B5</f>
        <v>113.81280000000001</v>
      </c>
      <c r="J5" s="19">
        <f t="shared" ref="J5:J17" si="1">IFERROR(I5/$I$20,)</f>
        <v>0.53863005530038965</v>
      </c>
      <c r="K5" s="15">
        <f>J5*$K$3*(1+$F$18)</f>
        <v>129.70211731633384</v>
      </c>
    </row>
    <row r="6" spans="1:13" x14ac:dyDescent="0.35">
      <c r="A6" t="s">
        <v>52</v>
      </c>
      <c r="B6" s="7">
        <v>5</v>
      </c>
      <c r="C6" s="7">
        <f t="shared" si="0"/>
        <v>1100</v>
      </c>
      <c r="D6" s="7" t="s">
        <v>11</v>
      </c>
      <c r="E6" s="7">
        <v>1</v>
      </c>
      <c r="F6" s="14">
        <v>4.2999999999999997E-2</v>
      </c>
      <c r="G6" s="8" t="e">
        <f t="shared" ref="G6:G14" ca="1" si="2">(B6*C6*E6* (1+F6))/10000*(1+$F$18)*(1+$F$19)</f>
        <v>#REF!</v>
      </c>
      <c r="H6" s="7">
        <v>104.8</v>
      </c>
      <c r="I6">
        <f t="shared" ref="I6:I15" si="3">H6/100*C6/11000*B6</f>
        <v>0.52399999999999991</v>
      </c>
      <c r="J6" s="19">
        <f t="shared" si="1"/>
        <v>2.4798805492651454E-3</v>
      </c>
      <c r="K6" s="15">
        <f t="shared" ref="K6:K17" si="4">J6*$K$3*(1+$F$18)</f>
        <v>0.59715523626304701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>
        <v>1</v>
      </c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30</v>
      </c>
      <c r="C8" s="7">
        <f t="shared" si="0"/>
        <v>2200</v>
      </c>
      <c r="D8" s="7" t="s">
        <v>22</v>
      </c>
      <c r="E8" s="7">
        <v>1</v>
      </c>
      <c r="F8" s="14">
        <v>0.17699999999999999</v>
      </c>
      <c r="G8" s="8" t="e">
        <f t="shared" ca="1" si="2"/>
        <v>#REF!</v>
      </c>
      <c r="H8" s="7">
        <v>115.7</v>
      </c>
      <c r="I8">
        <f t="shared" si="3"/>
        <v>6.9420000000000002</v>
      </c>
      <c r="J8" s="19">
        <f t="shared" si="1"/>
        <v>3.2853684681295119E-2</v>
      </c>
      <c r="K8" s="15">
        <f t="shared" si="4"/>
        <v>7.9111672712558647</v>
      </c>
    </row>
    <row r="9" spans="1:13" x14ac:dyDescent="0.35">
      <c r="A9" t="s">
        <v>55</v>
      </c>
      <c r="B9" s="7">
        <v>116</v>
      </c>
      <c r="C9" s="7">
        <f t="shared" si="0"/>
        <v>6600</v>
      </c>
      <c r="D9" s="7" t="s">
        <v>25</v>
      </c>
      <c r="E9" s="7">
        <v>1</v>
      </c>
      <c r="F9" s="14">
        <v>2.4E-2</v>
      </c>
      <c r="G9" s="8" t="e">
        <f t="shared" ca="1" si="2"/>
        <v>#REF!</v>
      </c>
      <c r="H9" s="7">
        <v>103.1</v>
      </c>
      <c r="I9">
        <f t="shared" si="3"/>
        <v>71.757599999999996</v>
      </c>
      <c r="J9" s="19">
        <f t="shared" si="1"/>
        <v>0.33959976431669581</v>
      </c>
      <c r="K9" s="15">
        <f t="shared" si="4"/>
        <v>81.775623247460359</v>
      </c>
    </row>
    <row r="10" spans="1:13" x14ac:dyDescent="0.35">
      <c r="A10" t="s">
        <v>56</v>
      </c>
      <c r="B10" s="7">
        <v>4</v>
      </c>
      <c r="C10" s="7">
        <f t="shared" si="0"/>
        <v>1100</v>
      </c>
      <c r="D10" s="7" t="s">
        <v>14</v>
      </c>
      <c r="E10" s="7">
        <v>1</v>
      </c>
      <c r="F10" s="14">
        <v>2.4E-2</v>
      </c>
      <c r="G10" s="8" t="e">
        <f t="shared" ca="1" si="2"/>
        <v>#REF!</v>
      </c>
      <c r="H10" s="7">
        <v>103</v>
      </c>
      <c r="I10">
        <f t="shared" si="3"/>
        <v>0.41199999999999998</v>
      </c>
      <c r="J10" s="19">
        <f t="shared" si="1"/>
        <v>1.949829744842061E-3</v>
      </c>
      <c r="K10" s="15">
        <f t="shared" si="4"/>
        <v>0.4695190025579683</v>
      </c>
    </row>
    <row r="11" spans="1:13" x14ac:dyDescent="0.35">
      <c r="A11" t="s">
        <v>56</v>
      </c>
      <c r="B11" s="7">
        <v>1</v>
      </c>
      <c r="C11" s="7">
        <f t="shared" si="0"/>
        <v>1100</v>
      </c>
      <c r="D11" s="7" t="s">
        <v>11</v>
      </c>
      <c r="E11" s="7">
        <v>1</v>
      </c>
      <c r="F11" s="14">
        <v>2.4E-2</v>
      </c>
      <c r="G11" s="8" t="e">
        <f t="shared" ca="1" si="2"/>
        <v>#REF!</v>
      </c>
      <c r="H11" s="7">
        <v>103</v>
      </c>
      <c r="I11">
        <f t="shared" si="3"/>
        <v>0.10299999999999999</v>
      </c>
      <c r="J11" s="19">
        <f t="shared" si="1"/>
        <v>4.8745743621051525E-4</v>
      </c>
      <c r="K11" s="15">
        <f t="shared" si="4"/>
        <v>0.11737975063949208</v>
      </c>
    </row>
    <row r="12" spans="1:13" x14ac:dyDescent="0.35">
      <c r="A12" t="s">
        <v>56</v>
      </c>
      <c r="B12" s="7">
        <v>1</v>
      </c>
      <c r="C12" s="7">
        <f t="shared" si="0"/>
        <v>1100</v>
      </c>
      <c r="D12" s="7" t="s">
        <v>12</v>
      </c>
      <c r="E12" s="7">
        <v>1</v>
      </c>
      <c r="F12" s="14">
        <v>2.4E-2</v>
      </c>
      <c r="G12" s="8" t="e">
        <f t="shared" ca="1" si="2"/>
        <v>#REF!</v>
      </c>
      <c r="H12" s="7">
        <v>103</v>
      </c>
      <c r="I12">
        <f t="shared" si="3"/>
        <v>0.10299999999999999</v>
      </c>
      <c r="J12" s="19">
        <f t="shared" si="1"/>
        <v>4.8745743621051525E-4</v>
      </c>
      <c r="K12" s="15">
        <f t="shared" si="4"/>
        <v>0.11737975063949208</v>
      </c>
    </row>
    <row r="13" spans="1:13" x14ac:dyDescent="0.35">
      <c r="A13" t="s">
        <v>56</v>
      </c>
      <c r="B13" s="12">
        <v>9</v>
      </c>
      <c r="C13" s="12">
        <f t="shared" si="0"/>
        <v>1100</v>
      </c>
      <c r="D13" s="12" t="s">
        <v>16</v>
      </c>
      <c r="E13" s="7">
        <v>1</v>
      </c>
      <c r="F13" s="14">
        <v>2.4E-2</v>
      </c>
      <c r="G13" s="8" t="e">
        <f t="shared" ca="1" si="2"/>
        <v>#REF!</v>
      </c>
      <c r="H13" s="7">
        <v>103</v>
      </c>
      <c r="I13">
        <f t="shared" si="3"/>
        <v>0.92699999999999994</v>
      </c>
      <c r="J13" s="29">
        <f t="shared" si="1"/>
        <v>4.3871169258946369E-3</v>
      </c>
      <c r="K13" s="15">
        <f t="shared" si="4"/>
        <v>1.0564177557554286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1100</v>
      </c>
      <c r="D15" s="7" t="s">
        <v>16</v>
      </c>
      <c r="E15" s="7">
        <v>1</v>
      </c>
      <c r="F15" s="14"/>
      <c r="G15" s="8" t="e">
        <f ca="1">B15*C15*E15*(1+F15)/10000*(1+$F$18)*(1+$F$19)</f>
        <v>#REF!</v>
      </c>
      <c r="H15" s="7">
        <v>446.7</v>
      </c>
      <c r="I15">
        <f t="shared" si="3"/>
        <v>0.44669999999999999</v>
      </c>
      <c r="J15" s="19">
        <f t="shared" si="1"/>
        <v>2.1140508422838561E-3</v>
      </c>
      <c r="K15" s="15">
        <f t="shared" si="4"/>
        <v>0.50906344282195259</v>
      </c>
    </row>
    <row r="16" spans="1:13" x14ac:dyDescent="0.35">
      <c r="A16" t="s">
        <v>59</v>
      </c>
      <c r="B16" s="7">
        <v>2</v>
      </c>
      <c r="C16" s="7">
        <f t="shared" si="0"/>
        <v>2200</v>
      </c>
      <c r="D16" s="12" t="s">
        <v>22</v>
      </c>
      <c r="E16" s="7">
        <v>1</v>
      </c>
      <c r="F16" s="14"/>
      <c r="G16" s="8" t="e">
        <f ca="1">(C16*E16*B16*$D$2/1000*$D$3)/10000*(1+$F$18)*(1+$F$19)</f>
        <v>#REF!</v>
      </c>
      <c r="H16" s="7">
        <v>8136.2</v>
      </c>
      <c r="I16">
        <f>H16/100*C16/11000*B16/2</f>
        <v>16.272400000000001</v>
      </c>
      <c r="J16" s="19">
        <f t="shared" si="1"/>
        <v>7.701070276691252E-2</v>
      </c>
      <c r="K16" s="15">
        <f t="shared" si="4"/>
        <v>18.544177226272534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349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211.30050000000003</v>
      </c>
      <c r="J20" s="15"/>
      <c r="K20" s="18">
        <f>SUM(K5:K17)</f>
        <v>240.79999999999993</v>
      </c>
    </row>
    <row r="21" spans="1:13" x14ac:dyDescent="0.35">
      <c r="G21" s="9"/>
      <c r="M21" t="s">
        <v>62</v>
      </c>
    </row>
    <row r="22" spans="1:13" x14ac:dyDescent="0.35">
      <c r="A22" t="s">
        <v>66</v>
      </c>
      <c r="D22" t="str" cm="1">
        <f t="array" ref="D22:D27">_xlfn.UNIQUE(_xlfn._xlws.FILTER(D5:D15,D5:D15&lt;&gt;""))</f>
        <v>06600-PES-WEISS</v>
      </c>
      <c r="K22" s="28">
        <f t="shared" ref="K22:K29" si="5">SUMIF($D$5:$D$17,D22,$K$5:$K$17)</f>
        <v>211.47774056379421</v>
      </c>
      <c r="M22" s="32">
        <f t="shared" ref="M22:M28" si="6">SUMIF($D$5:$D$15,D22,$B$5:$B$15)</f>
        <v>297</v>
      </c>
    </row>
    <row r="23" spans="1:13" x14ac:dyDescent="0.35">
      <c r="D23" t="str">
        <v>01100-PES-BLAU</v>
      </c>
      <c r="K23" s="28">
        <f t="shared" si="5"/>
        <v>0.71453498690253903</v>
      </c>
      <c r="M23" s="32">
        <f t="shared" si="6"/>
        <v>6</v>
      </c>
    </row>
    <row r="24" spans="1:13" x14ac:dyDescent="0.35">
      <c r="D24" t="str">
        <v>02200-PES-WEISS</v>
      </c>
      <c r="K24" s="28">
        <f t="shared" si="5"/>
        <v>26.455344497528401</v>
      </c>
      <c r="M24" s="32">
        <f t="shared" si="6"/>
        <v>30</v>
      </c>
    </row>
    <row r="25" spans="1:13" x14ac:dyDescent="0.35">
      <c r="D25" t="str">
        <v>01100-PES-ROT</v>
      </c>
      <c r="K25" s="28">
        <f t="shared" si="5"/>
        <v>0.4695190025579683</v>
      </c>
      <c r="M25" s="32">
        <f t="shared" si="6"/>
        <v>4</v>
      </c>
    </row>
    <row r="26" spans="1:13" x14ac:dyDescent="0.35">
      <c r="D26" t="str">
        <v>01100-PES-GRUEN</v>
      </c>
      <c r="K26" s="28">
        <f t="shared" si="5"/>
        <v>0.11737975063949208</v>
      </c>
      <c r="M26" s="32">
        <f t="shared" si="6"/>
        <v>1</v>
      </c>
    </row>
    <row r="27" spans="1:13" x14ac:dyDescent="0.35">
      <c r="D27" t="str">
        <v>01100-PES-WEISS</v>
      </c>
      <c r="K27" s="28">
        <f t="shared" si="5"/>
        <v>1.5654811985773813</v>
      </c>
      <c r="M27" s="32">
        <f t="shared" si="6"/>
        <v>10</v>
      </c>
    </row>
    <row r="28" spans="1:13" x14ac:dyDescent="0.35">
      <c r="K28" s="28">
        <f t="shared" si="5"/>
        <v>0</v>
      </c>
      <c r="M28" s="32">
        <f t="shared" si="6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22</v>
      </c>
      <c r="K30" s="15">
        <f>K16+K17</f>
        <v>18.544177226272534</v>
      </c>
      <c r="M30">
        <v>1</v>
      </c>
    </row>
    <row r="31" spans="1:13" x14ac:dyDescent="0.35">
      <c r="A31" t="s">
        <v>64</v>
      </c>
      <c r="D31" t="s">
        <v>25</v>
      </c>
      <c r="K31">
        <f>SUMIF(D5:D13,D31,K5:K13)</f>
        <v>211.47774056379421</v>
      </c>
    </row>
  </sheetData>
  <sortState xmlns:xlrd2="http://schemas.microsoft.com/office/spreadsheetml/2017/richdata2" ref="D31:D36">
    <sortCondition descending="1" ref="D30:D36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89D803-E693-4CD3-86F0-7CFFCBC9D8D4}">
          <x14:formula1>
            <xm:f>#REF!</xm:f>
          </x14:formula1>
          <xm:sqref>D5:D17 D29:D30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41F34-1CEB-4557-A0E8-905E0F697021}">
  <sheetPr codeName="Sheet16"/>
  <dimension ref="A1:M31"/>
  <sheetViews>
    <sheetView topLeftCell="A4" workbookViewId="0">
      <selection activeCell="A35" sqref="A35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4.269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6789102-048-00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112</v>
      </c>
      <c r="G2" s="8"/>
      <c r="K2" s="21" t="s">
        <v>38</v>
      </c>
    </row>
    <row r="3" spans="1:13" x14ac:dyDescent="0.35">
      <c r="A3" t="s">
        <v>39</v>
      </c>
      <c r="D3" s="4">
        <v>500</v>
      </c>
      <c r="G3" s="5" t="s">
        <v>40</v>
      </c>
      <c r="K3" s="20">
        <v>322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12">
        <v>235</v>
      </c>
      <c r="C5" s="7">
        <f t="shared" ref="C5:C17" si="0">IFERROR(VALUE(LEFT(D5,5)),)</f>
        <v>6600</v>
      </c>
      <c r="D5" s="7" t="s">
        <v>25</v>
      </c>
      <c r="E5" s="7">
        <v>1</v>
      </c>
      <c r="F5" s="14">
        <v>4.2000000000000003E-2</v>
      </c>
      <c r="G5" s="8" t="e">
        <f ca="1">(B5*C5*E5* (1+F5))/10000*(1+$F$18)*(1+$F$19)</f>
        <v>#REF!</v>
      </c>
      <c r="H5" s="7">
        <v>104.1</v>
      </c>
      <c r="I5">
        <f>H5/100*C5/11000*B5</f>
        <v>146.78099999999998</v>
      </c>
      <c r="J5" s="19">
        <f t="shared" ref="J5:J17" si="1">IFERROR(I5/$I$20,)</f>
        <v>0.5395564845035713</v>
      </c>
      <c r="K5" s="15">
        <f>J5*$K$3*(1+$F$18)</f>
        <v>173.73718801014996</v>
      </c>
    </row>
    <row r="6" spans="1:13" x14ac:dyDescent="0.35">
      <c r="A6" t="s">
        <v>52</v>
      </c>
      <c r="B6" s="12">
        <v>5</v>
      </c>
      <c r="C6" s="7">
        <f t="shared" si="0"/>
        <v>1100</v>
      </c>
      <c r="D6" s="7" t="s">
        <v>11</v>
      </c>
      <c r="E6" s="7">
        <v>1</v>
      </c>
      <c r="F6" s="14">
        <v>4.2999999999999997E-2</v>
      </c>
      <c r="G6" s="8" t="e">
        <f t="shared" ref="G6:G14" ca="1" si="2">(B6*C6*E6* (1+F6))/10000*(1+$F$18)*(1+$F$19)</f>
        <v>#REF!</v>
      </c>
      <c r="H6" s="7">
        <v>104</v>
      </c>
      <c r="I6">
        <f t="shared" ref="I6:I15" si="3">H6/100*C6/11000*B6</f>
        <v>0.52</v>
      </c>
      <c r="J6" s="19">
        <f t="shared" si="1"/>
        <v>1.9114829027044177E-3</v>
      </c>
      <c r="K6" s="15">
        <f t="shared" ref="K6:K17" si="4">J6*$K$3*(1+$F$18)</f>
        <v>0.61549749467082249</v>
      </c>
    </row>
    <row r="7" spans="1:13" x14ac:dyDescent="0.35">
      <c r="A7" t="s">
        <v>53</v>
      </c>
      <c r="B7" s="12"/>
      <c r="C7" s="7">
        <f t="shared" si="0"/>
        <v>0</v>
      </c>
      <c r="D7" s="7"/>
      <c r="E7" s="7">
        <v>1</v>
      </c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12">
        <v>39</v>
      </c>
      <c r="C8" s="7">
        <f t="shared" si="0"/>
        <v>2200</v>
      </c>
      <c r="D8" s="7" t="s">
        <v>22</v>
      </c>
      <c r="E8" s="7">
        <v>1</v>
      </c>
      <c r="F8" s="14">
        <v>0.17699999999999999</v>
      </c>
      <c r="G8" s="8" t="e">
        <f t="shared" ca="1" si="2"/>
        <v>#REF!</v>
      </c>
      <c r="H8" s="7">
        <v>117.2</v>
      </c>
      <c r="I8">
        <f t="shared" si="3"/>
        <v>9.1415999999999986</v>
      </c>
      <c r="J8" s="19">
        <f t="shared" si="1"/>
        <v>3.3603869429543652E-2</v>
      </c>
      <c r="K8" s="15">
        <f t="shared" si="4"/>
        <v>10.820445956313057</v>
      </c>
    </row>
    <row r="9" spans="1:13" x14ac:dyDescent="0.35">
      <c r="A9" t="s">
        <v>55</v>
      </c>
      <c r="B9" s="12">
        <v>152</v>
      </c>
      <c r="C9" s="7">
        <f t="shared" si="0"/>
        <v>6600</v>
      </c>
      <c r="D9" s="7" t="s">
        <v>25</v>
      </c>
      <c r="E9" s="7">
        <v>1</v>
      </c>
      <c r="F9" s="14">
        <v>2.4E-2</v>
      </c>
      <c r="G9" s="8" t="e">
        <f t="shared" ca="1" si="2"/>
        <v>#REF!</v>
      </c>
      <c r="H9" s="7">
        <v>102.2</v>
      </c>
      <c r="I9">
        <f t="shared" si="3"/>
        <v>93.206400000000002</v>
      </c>
      <c r="J9" s="19">
        <f t="shared" si="1"/>
        <v>0.3426200769665943</v>
      </c>
      <c r="K9" s="15">
        <f t="shared" si="4"/>
        <v>110.32366478324336</v>
      </c>
    </row>
    <row r="10" spans="1:13" x14ac:dyDescent="0.35">
      <c r="A10" t="s">
        <v>56</v>
      </c>
      <c r="B10" s="7">
        <v>5</v>
      </c>
      <c r="C10" s="7">
        <f t="shared" si="0"/>
        <v>1100</v>
      </c>
      <c r="D10" s="7" t="s">
        <v>14</v>
      </c>
      <c r="E10" s="7">
        <v>1</v>
      </c>
      <c r="F10" s="14">
        <v>2.4E-2</v>
      </c>
      <c r="G10" s="8" t="e">
        <f t="shared" ca="1" si="2"/>
        <v>#REF!</v>
      </c>
      <c r="H10" s="7">
        <v>102.1</v>
      </c>
      <c r="I10">
        <f t="shared" si="3"/>
        <v>0.51049999999999995</v>
      </c>
      <c r="J10" s="19">
        <f t="shared" si="1"/>
        <v>1.8765615804434712E-3</v>
      </c>
      <c r="K10" s="15">
        <f t="shared" si="4"/>
        <v>0.60425282890279775</v>
      </c>
    </row>
    <row r="11" spans="1:13" x14ac:dyDescent="0.35">
      <c r="A11" t="s">
        <v>56</v>
      </c>
      <c r="B11" s="7">
        <v>1</v>
      </c>
      <c r="C11" s="7">
        <f t="shared" si="0"/>
        <v>1100</v>
      </c>
      <c r="D11" s="7" t="s">
        <v>11</v>
      </c>
      <c r="E11" s="7">
        <v>1</v>
      </c>
      <c r="F11" s="14">
        <v>2.4E-2</v>
      </c>
      <c r="G11" s="8" t="e">
        <f t="shared" ca="1" si="2"/>
        <v>#REF!</v>
      </c>
      <c r="H11" s="7">
        <v>102.2</v>
      </c>
      <c r="I11">
        <f t="shared" si="3"/>
        <v>0.1022</v>
      </c>
      <c r="J11" s="19">
        <f t="shared" si="1"/>
        <v>3.75679908954599E-4</v>
      </c>
      <c r="K11" s="15">
        <f t="shared" si="4"/>
        <v>0.12096893068338088</v>
      </c>
    </row>
    <row r="12" spans="1:13" x14ac:dyDescent="0.35">
      <c r="A12" t="s">
        <v>56</v>
      </c>
      <c r="B12" s="7">
        <v>1</v>
      </c>
      <c r="C12" s="7">
        <f t="shared" si="0"/>
        <v>1100</v>
      </c>
      <c r="D12" s="7" t="s">
        <v>12</v>
      </c>
      <c r="E12" s="7">
        <v>1</v>
      </c>
      <c r="F12" s="14">
        <v>2.4E-2</v>
      </c>
      <c r="G12" s="8" t="e">
        <f t="shared" ca="1" si="2"/>
        <v>#REF!</v>
      </c>
      <c r="H12" s="7">
        <v>102.2</v>
      </c>
      <c r="I12">
        <f t="shared" si="3"/>
        <v>0.1022</v>
      </c>
      <c r="J12" s="19">
        <f t="shared" si="1"/>
        <v>3.75679908954599E-4</v>
      </c>
      <c r="K12" s="15">
        <f t="shared" si="4"/>
        <v>0.12096893068338088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>
        <v>2.4E-2</v>
      </c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1100</v>
      </c>
      <c r="D15" s="7" t="s">
        <v>16</v>
      </c>
      <c r="E15" s="7">
        <v>1</v>
      </c>
      <c r="F15" s="14"/>
      <c r="G15" s="8" t="e">
        <f ca="1">B15*C15*E15*(1+F15)/10000*(1+$F$18)*(1+$F$19)</f>
        <v>#REF!</v>
      </c>
      <c r="H15" s="7">
        <v>425.2</v>
      </c>
      <c r="I15">
        <f t="shared" si="3"/>
        <v>0.42519999999999997</v>
      </c>
      <c r="J15" s="19">
        <f t="shared" si="1"/>
        <v>1.563004865826766E-3</v>
      </c>
      <c r="K15" s="15">
        <f t="shared" si="4"/>
        <v>0.50328756679621867</v>
      </c>
    </row>
    <row r="16" spans="1:13" x14ac:dyDescent="0.35">
      <c r="A16" t="s">
        <v>59</v>
      </c>
      <c r="B16" s="7">
        <v>2</v>
      </c>
      <c r="C16" s="7">
        <f t="shared" si="0"/>
        <v>2200</v>
      </c>
      <c r="D16" s="12" t="s">
        <v>22</v>
      </c>
      <c r="E16" s="7">
        <v>1</v>
      </c>
      <c r="F16" s="14"/>
      <c r="G16" s="8" t="e">
        <f ca="1">(C16*E16*B16*$D$2/1000*$D$3)/10000*(1+$F$18)*(1+$F$19)</f>
        <v>#REF!</v>
      </c>
      <c r="H16" s="7">
        <v>10625.5</v>
      </c>
      <c r="I16">
        <f>H16/100*C16/11000*B16/2</f>
        <v>21.251000000000001</v>
      </c>
      <c r="J16" s="19">
        <f t="shared" si="1"/>
        <v>7.8117159933406885E-2</v>
      </c>
      <c r="K16" s="15">
        <f t="shared" si="4"/>
        <v>25.153725498557016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440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272.0401</v>
      </c>
      <c r="J20" s="15"/>
      <c r="K20" s="18">
        <f>SUM(K5:K17)</f>
        <v>322.00000000000006</v>
      </c>
    </row>
    <row r="21" spans="1:13" x14ac:dyDescent="0.35">
      <c r="G21" s="9"/>
      <c r="M21" t="s">
        <v>69</v>
      </c>
    </row>
    <row r="22" spans="1:13" x14ac:dyDescent="0.35">
      <c r="A22" t="s">
        <v>66</v>
      </c>
      <c r="D22" t="str" cm="1">
        <f t="array" ref="D22:D27">_xlfn.UNIQUE(_xlfn._xlws.FILTER(D5:D15,D5:D15&lt;&gt;""))</f>
        <v>06600-PES-WEISS</v>
      </c>
      <c r="K22" s="28">
        <f t="shared" ref="K22:K29" si="5">SUMIF($D$5:$D$17,D22,$K$5:$K$17)</f>
        <v>284.06085279339334</v>
      </c>
      <c r="M22" s="32">
        <f t="shared" ref="M22:M28" si="6">SUMIF($D$5:$D$15,D22,$B$5:$B$15)</f>
        <v>387</v>
      </c>
    </row>
    <row r="23" spans="1:13" x14ac:dyDescent="0.35">
      <c r="D23" t="str">
        <v>01100-PES-BLAU</v>
      </c>
      <c r="K23" s="28">
        <f t="shared" si="5"/>
        <v>0.73646642535420337</v>
      </c>
      <c r="M23" s="32">
        <f t="shared" si="6"/>
        <v>6</v>
      </c>
    </row>
    <row r="24" spans="1:13" x14ac:dyDescent="0.35">
      <c r="D24" t="str">
        <v>02200-PES-WEISS</v>
      </c>
      <c r="K24" s="28">
        <f t="shared" si="5"/>
        <v>35.974171454870074</v>
      </c>
      <c r="M24" s="32">
        <f t="shared" si="6"/>
        <v>39</v>
      </c>
    </row>
    <row r="25" spans="1:13" x14ac:dyDescent="0.35">
      <c r="D25" t="str">
        <v>01100-PES-ROT</v>
      </c>
      <c r="K25" s="28">
        <f t="shared" si="5"/>
        <v>0.60425282890279775</v>
      </c>
      <c r="M25" s="32">
        <f t="shared" si="6"/>
        <v>5</v>
      </c>
    </row>
    <row r="26" spans="1:13" x14ac:dyDescent="0.35">
      <c r="D26" t="str">
        <v>01100-PES-GRUEN</v>
      </c>
      <c r="K26" s="28">
        <f t="shared" si="5"/>
        <v>0.12096893068338088</v>
      </c>
      <c r="M26" s="32">
        <f t="shared" si="6"/>
        <v>1</v>
      </c>
    </row>
    <row r="27" spans="1:13" x14ac:dyDescent="0.35">
      <c r="D27" t="str">
        <v>01100-PES-WEISS</v>
      </c>
      <c r="K27" s="28">
        <f t="shared" si="5"/>
        <v>0.50328756679621867</v>
      </c>
      <c r="M27" s="32">
        <f t="shared" si="6"/>
        <v>1</v>
      </c>
    </row>
    <row r="28" spans="1:13" x14ac:dyDescent="0.35">
      <c r="K28" s="28">
        <f t="shared" si="5"/>
        <v>0</v>
      </c>
      <c r="M28" s="32">
        <f t="shared" si="6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22</v>
      </c>
      <c r="K30" s="15">
        <f>K16+K17</f>
        <v>25.153725498557016</v>
      </c>
      <c r="M30">
        <v>1</v>
      </c>
    </row>
    <row r="31" spans="1:13" x14ac:dyDescent="0.35">
      <c r="A31" t="s">
        <v>64</v>
      </c>
      <c r="D31" t="s">
        <v>25</v>
      </c>
      <c r="K31">
        <f>SUMIF(D5:D13,D31,K5:K13)</f>
        <v>284.06085279339334</v>
      </c>
    </row>
  </sheetData>
  <sortState xmlns:xlrd2="http://schemas.microsoft.com/office/spreadsheetml/2017/richdata2" ref="D31:D35">
    <sortCondition descending="1" ref="D30:D35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A64D21B-40FA-4226-BC61-5E227E84C331}">
          <x14:formula1>
            <xm:f>#REF!</xm:f>
          </x14:formula1>
          <xm:sqref>D5:D17 D29:D30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1FE9-A408-4DC1-90D1-B86B1DA36CF3}">
  <sheetPr codeName="Sheet33"/>
  <dimension ref="A1:M163"/>
  <sheetViews>
    <sheetView topLeftCell="A19" workbookViewId="0">
      <selection activeCell="A31" sqref="A31:K3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2.7265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6675027-048-00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30.5</v>
      </c>
      <c r="G2" s="8"/>
      <c r="K2" s="21" t="s">
        <v>38</v>
      </c>
    </row>
    <row r="3" spans="1:13" x14ac:dyDescent="0.35">
      <c r="A3" t="s">
        <v>39</v>
      </c>
      <c r="D3" s="4">
        <v>590</v>
      </c>
      <c r="G3" s="5" t="s">
        <v>40</v>
      </c>
      <c r="K3" s="20">
        <v>60.9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12">
        <v>74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3.2000000000000001E-2</v>
      </c>
      <c r="G5" s="8" t="e">
        <f ca="1">(B5*C5*E5* (1+F5))/10000*(1+$F$18)*(1+$F$19)</f>
        <v>#REF!</v>
      </c>
      <c r="H5" s="7">
        <v>104.3</v>
      </c>
      <c r="I5">
        <f>H5/100*C5/11000*B5</f>
        <v>23.154599999999995</v>
      </c>
      <c r="J5" s="19">
        <f t="shared" ref="J5:J17" si="1">IFERROR(I5/$I$20,)</f>
        <v>0.42660490875877105</v>
      </c>
      <c r="K5" s="15">
        <f>J5*$K$3*(1+$F$18)</f>
        <v>25.980238943409155</v>
      </c>
    </row>
    <row r="6" spans="1:13" x14ac:dyDescent="0.35">
      <c r="A6" t="s">
        <v>52</v>
      </c>
      <c r="B6" s="7">
        <v>3</v>
      </c>
      <c r="C6" s="7">
        <f t="shared" si="0"/>
        <v>1100</v>
      </c>
      <c r="D6" s="7" t="s">
        <v>11</v>
      </c>
      <c r="E6" s="7">
        <v>1</v>
      </c>
      <c r="F6" s="14">
        <v>3.2000000000000001E-2</v>
      </c>
      <c r="G6" s="8" t="e">
        <f t="shared" ref="G6:G14" ca="1" si="2">(B6*C6*E6* (1+F6))/10000*(1+$F$18)*(1+$F$19)</f>
        <v>#REF!</v>
      </c>
      <c r="H6" s="7">
        <v>104.3</v>
      </c>
      <c r="I6">
        <f t="shared" ref="I6:I15" si="3">H6/100*C6/11000*B6</f>
        <v>0.31289999999999996</v>
      </c>
      <c r="J6" s="19">
        <f t="shared" si="1"/>
        <v>5.7649311994428529E-3</v>
      </c>
      <c r="K6" s="15">
        <f t="shared" ref="K6:K17" si="4">J6*$K$3*(1+$F$18)</f>
        <v>0.35108431004606971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12">
        <v>17</v>
      </c>
      <c r="C8" s="7">
        <f t="shared" si="0"/>
        <v>1100</v>
      </c>
      <c r="D8" s="7" t="s">
        <v>16</v>
      </c>
      <c r="E8" s="7">
        <v>1</v>
      </c>
      <c r="F8" s="14">
        <v>0.14699999999999999</v>
      </c>
      <c r="G8" s="8" t="e">
        <f t="shared" ca="1" si="2"/>
        <v>#REF!</v>
      </c>
      <c r="H8" s="7">
        <v>112</v>
      </c>
      <c r="I8">
        <f t="shared" si="3"/>
        <v>1.9040000000000004</v>
      </c>
      <c r="J8" s="19">
        <f t="shared" si="1"/>
        <v>3.5079670833298798E-2</v>
      </c>
      <c r="K8" s="15">
        <f t="shared" si="4"/>
        <v>2.1363519537478965</v>
      </c>
    </row>
    <row r="9" spans="1:13" x14ac:dyDescent="0.35">
      <c r="A9" t="s">
        <v>55</v>
      </c>
      <c r="B9" s="12">
        <v>64</v>
      </c>
      <c r="C9" s="7">
        <f t="shared" si="0"/>
        <v>3300</v>
      </c>
      <c r="D9" s="7" t="s">
        <v>24</v>
      </c>
      <c r="E9" s="7">
        <v>1</v>
      </c>
      <c r="F9" s="14">
        <v>1.9E-2</v>
      </c>
      <c r="G9" s="8" t="e">
        <f t="shared" ca="1" si="2"/>
        <v>#REF!</v>
      </c>
      <c r="H9" s="7">
        <v>102.5</v>
      </c>
      <c r="I9">
        <f t="shared" si="3"/>
        <v>19.679999999999996</v>
      </c>
      <c r="J9" s="19">
        <f t="shared" si="1"/>
        <v>0.36258819432737405</v>
      </c>
      <c r="K9" s="15">
        <f t="shared" si="4"/>
        <v>22.081621034537079</v>
      </c>
    </row>
    <row r="10" spans="1:13" x14ac:dyDescent="0.35">
      <c r="A10" t="s">
        <v>56</v>
      </c>
      <c r="B10" s="12">
        <v>2</v>
      </c>
      <c r="C10" s="7">
        <f t="shared" si="0"/>
        <v>1100</v>
      </c>
      <c r="D10" s="7" t="s">
        <v>14</v>
      </c>
      <c r="E10" s="7">
        <v>1</v>
      </c>
      <c r="F10" s="14">
        <v>1.7999999999999999E-2</v>
      </c>
      <c r="G10" s="8" t="e">
        <f t="shared" ca="1" si="2"/>
        <v>#REF!</v>
      </c>
      <c r="H10" s="7">
        <v>102.5</v>
      </c>
      <c r="I10">
        <f t="shared" si="3"/>
        <v>0.20499999999999999</v>
      </c>
      <c r="J10" s="19">
        <f t="shared" si="1"/>
        <v>3.7769603575768134E-3</v>
      </c>
      <c r="K10" s="15">
        <f t="shared" si="4"/>
        <v>0.23001688577642793</v>
      </c>
    </row>
    <row r="11" spans="1:13" x14ac:dyDescent="0.35">
      <c r="A11" t="s">
        <v>56</v>
      </c>
      <c r="B11" s="12">
        <v>1</v>
      </c>
      <c r="C11" s="7">
        <f t="shared" si="0"/>
        <v>1100</v>
      </c>
      <c r="D11" s="7" t="s">
        <v>11</v>
      </c>
      <c r="E11" s="7">
        <v>1</v>
      </c>
      <c r="F11" s="14">
        <v>1.7999999999999999E-2</v>
      </c>
      <c r="G11" s="8" t="e">
        <f t="shared" ca="1" si="2"/>
        <v>#REF!</v>
      </c>
      <c r="H11" s="7">
        <v>102.4</v>
      </c>
      <c r="I11">
        <f t="shared" si="3"/>
        <v>0.1024</v>
      </c>
      <c r="J11" s="19">
        <f t="shared" si="1"/>
        <v>1.8866377591017841E-3</v>
      </c>
      <c r="K11" s="15">
        <f t="shared" si="4"/>
        <v>0.11489623952929864</v>
      </c>
    </row>
    <row r="12" spans="1:13" x14ac:dyDescent="0.35">
      <c r="A12" t="s">
        <v>56</v>
      </c>
      <c r="B12" s="12">
        <v>1</v>
      </c>
      <c r="C12" s="7">
        <f t="shared" si="0"/>
        <v>1100</v>
      </c>
      <c r="D12" s="7" t="s">
        <v>12</v>
      </c>
      <c r="E12" s="7">
        <v>1</v>
      </c>
      <c r="F12" s="14">
        <v>1.7999999999999999E-2</v>
      </c>
      <c r="G12" s="8" t="e">
        <f t="shared" ca="1" si="2"/>
        <v>#REF!</v>
      </c>
      <c r="H12" s="7">
        <v>102.4</v>
      </c>
      <c r="I12">
        <f t="shared" si="3"/>
        <v>0.1024</v>
      </c>
      <c r="J12" s="19">
        <f t="shared" si="1"/>
        <v>1.8866377591017841E-3</v>
      </c>
      <c r="K12" s="15">
        <f t="shared" si="4"/>
        <v>0.11489623952929864</v>
      </c>
    </row>
    <row r="13" spans="1:13" x14ac:dyDescent="0.35">
      <c r="A13" s="24" t="s">
        <v>56</v>
      </c>
      <c r="B13" s="12">
        <v>3</v>
      </c>
      <c r="C13" s="12">
        <f t="shared" si="0"/>
        <v>1100</v>
      </c>
      <c r="D13" s="12" t="s">
        <v>16</v>
      </c>
      <c r="E13" s="7">
        <v>1</v>
      </c>
      <c r="F13" s="14">
        <v>1.7999999999999999E-2</v>
      </c>
      <c r="G13" s="8" t="e">
        <f t="shared" ca="1" si="2"/>
        <v>#REF!</v>
      </c>
      <c r="H13" s="7">
        <v>102.5</v>
      </c>
      <c r="I13">
        <f t="shared" si="3"/>
        <v>0.3075</v>
      </c>
      <c r="J13" s="19">
        <f t="shared" si="1"/>
        <v>5.6654405363652204E-3</v>
      </c>
      <c r="K13" s="15">
        <f t="shared" si="4"/>
        <v>0.34502532866464192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1670</v>
      </c>
      <c r="D15" s="7" t="s">
        <v>19</v>
      </c>
      <c r="E15" s="7">
        <v>1</v>
      </c>
      <c r="F15" s="14"/>
      <c r="G15" s="8" t="e">
        <f ca="1">B15*C15*E15*(1+F15)/10000*(1+$F$18)*(1+$F$19)</f>
        <v>#REF!</v>
      </c>
      <c r="H15" s="7">
        <v>544.5</v>
      </c>
      <c r="I15">
        <f t="shared" si="3"/>
        <v>0.82665</v>
      </c>
      <c r="J15" s="19">
        <f t="shared" si="1"/>
        <v>1.5230362339467672E-2</v>
      </c>
      <c r="K15" s="15">
        <f t="shared" si="4"/>
        <v>0.92752906647358124</v>
      </c>
    </row>
    <row r="16" spans="1:13" x14ac:dyDescent="0.35">
      <c r="A16" t="s">
        <v>59</v>
      </c>
      <c r="B16" s="7">
        <v>2</v>
      </c>
      <c r="C16" s="7">
        <f t="shared" si="0"/>
        <v>2200</v>
      </c>
      <c r="D16" s="12" t="s">
        <v>22</v>
      </c>
      <c r="E16" s="7">
        <v>1</v>
      </c>
      <c r="F16" s="14"/>
      <c r="G16" s="8" t="e">
        <f ca="1">(C16*E16*B16*$D$2/1000*$D$3)/10000*(1+$F$18)*(1+$F$19)</f>
        <v>#REF!</v>
      </c>
      <c r="H16" s="7">
        <v>3840.5</v>
      </c>
      <c r="I16">
        <f>H16/100*C16/11000*B16/2</f>
        <v>7.681</v>
      </c>
      <c r="J16" s="19">
        <f t="shared" si="1"/>
        <v>0.14151625612950003</v>
      </c>
      <c r="K16" s="15">
        <f t="shared" si="4"/>
        <v>8.618339998286551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167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54.27644999999999</v>
      </c>
      <c r="J20" s="15"/>
      <c r="K20" s="18">
        <f>SUM(K5:K17)</f>
        <v>60.900000000000006</v>
      </c>
    </row>
    <row r="21" spans="1:13" x14ac:dyDescent="0.35">
      <c r="G21" s="9"/>
      <c r="M21" t="s">
        <v>69</v>
      </c>
    </row>
    <row r="22" spans="1:13" x14ac:dyDescent="0.35">
      <c r="A22" t="s">
        <v>66</v>
      </c>
      <c r="D22" t="str" cm="1">
        <f t="array" ref="D22:D27">_xlfn.UNIQUE(_xlfn._xlws.FILTER(D5:D15,D5:D15&lt;&gt;""))</f>
        <v>03300-PES-WEISS</v>
      </c>
      <c r="K22" s="28">
        <f t="shared" ref="K22:K29" si="5">SUMIF($D$5:$D$17,D22,$K$5:$K$17)</f>
        <v>48.061859977946234</v>
      </c>
      <c r="M22" s="32">
        <f t="shared" ref="M22:M28" si="6">SUMIF($D$5:$D$15,D22,$B$5:$B$15)</f>
        <v>138</v>
      </c>
    </row>
    <row r="23" spans="1:13" x14ac:dyDescent="0.35">
      <c r="D23" t="str">
        <v>01100-PES-BLAU</v>
      </c>
      <c r="K23" s="28">
        <f t="shared" si="5"/>
        <v>0.46598054957536839</v>
      </c>
      <c r="M23" s="32">
        <f t="shared" si="6"/>
        <v>4</v>
      </c>
    </row>
    <row r="24" spans="1:13" x14ac:dyDescent="0.35">
      <c r="D24" t="str">
        <v>01100-PES-WEISS</v>
      </c>
      <c r="K24" s="28">
        <f t="shared" si="5"/>
        <v>2.4813772824125384</v>
      </c>
      <c r="M24" s="32">
        <f t="shared" si="6"/>
        <v>20</v>
      </c>
    </row>
    <row r="25" spans="1:13" x14ac:dyDescent="0.35">
      <c r="D25" t="str">
        <v>01100-PES-ROT</v>
      </c>
      <c r="K25" s="28">
        <f t="shared" si="5"/>
        <v>0.23001688577642793</v>
      </c>
      <c r="M25" s="32">
        <f t="shared" si="6"/>
        <v>2</v>
      </c>
    </row>
    <row r="26" spans="1:13" x14ac:dyDescent="0.35">
      <c r="D26" t="str">
        <v>01100-PES-GRUEN</v>
      </c>
      <c r="K26" s="28">
        <f t="shared" si="5"/>
        <v>0.11489623952929864</v>
      </c>
      <c r="M26" s="32">
        <f t="shared" si="6"/>
        <v>1</v>
      </c>
    </row>
    <row r="27" spans="1:13" x14ac:dyDescent="0.35">
      <c r="D27" t="str">
        <v>01670-PES-SCHWARZ</v>
      </c>
      <c r="K27" s="28">
        <f t="shared" si="5"/>
        <v>0.92752906647358124</v>
      </c>
      <c r="M27" s="32">
        <f t="shared" si="6"/>
        <v>1</v>
      </c>
    </row>
    <row r="28" spans="1:13" x14ac:dyDescent="0.35">
      <c r="K28" s="28">
        <f t="shared" si="5"/>
        <v>0</v>
      </c>
      <c r="M28" s="32">
        <f t="shared" si="6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22</v>
      </c>
      <c r="K30" s="15">
        <f>K16+K17</f>
        <v>8.618339998286551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48.061859977946234</v>
      </c>
    </row>
    <row r="163" spans="3:3" x14ac:dyDescent="0.35">
      <c r="C163">
        <v>21</v>
      </c>
    </row>
  </sheetData>
  <sortState xmlns:xlrd2="http://schemas.microsoft.com/office/spreadsheetml/2017/richdata2" ref="D31:D34">
    <sortCondition descending="1" ref="D30:D34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E95D3C-94EC-497B-83CE-02DA16BD4AF0}">
          <x14:formula1>
            <xm:f>#REF!</xm:f>
          </x14:formula1>
          <xm:sqref>D5:D17 D29:D30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FA0A7-47E2-4103-962A-859DA31AC824}">
  <sheetPr codeName="Sheet34"/>
  <dimension ref="A1:M31"/>
  <sheetViews>
    <sheetView topLeftCell="A19" workbookViewId="0">
      <selection activeCell="A31" sqref="A31:K3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3.7265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6675051-048-00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58</v>
      </c>
      <c r="G2" s="8"/>
      <c r="K2" s="21" t="s">
        <v>38</v>
      </c>
    </row>
    <row r="3" spans="1:13" x14ac:dyDescent="0.35">
      <c r="A3" t="s">
        <v>39</v>
      </c>
      <c r="D3" s="4">
        <v>580</v>
      </c>
      <c r="G3" s="5" t="s">
        <v>40</v>
      </c>
      <c r="K3" s="20">
        <v>113.8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138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0.04</v>
      </c>
      <c r="G5" s="8" t="e">
        <f ca="1">(B5*C5*E5* (1+F5))/10000*(1+$F$18)*(1+$F$19)</f>
        <v>#REF!</v>
      </c>
      <c r="H5" s="7">
        <v>103.2</v>
      </c>
      <c r="I5">
        <f>H5/100*C5/11000*B5</f>
        <v>42.724799999999995</v>
      </c>
      <c r="J5" s="19">
        <f t="shared" ref="J5:J17" si="1">IFERROR(I5/$I$20,)</f>
        <v>0.42495959259388189</v>
      </c>
      <c r="K5" s="15">
        <f>J5*$K$3*(1+$F$18)</f>
        <v>48.360401637183756</v>
      </c>
    </row>
    <row r="6" spans="1:13" x14ac:dyDescent="0.35">
      <c r="A6" t="s">
        <v>52</v>
      </c>
      <c r="B6" s="7">
        <v>3</v>
      </c>
      <c r="C6" s="7">
        <f t="shared" si="0"/>
        <v>1100</v>
      </c>
      <c r="D6" s="7" t="s">
        <v>11</v>
      </c>
      <c r="E6" s="7">
        <v>1</v>
      </c>
      <c r="F6" s="14">
        <v>0.04</v>
      </c>
      <c r="G6" s="8" t="e">
        <f t="shared" ref="G6:G14" ca="1" si="2">(B6*C6*E6* (1+F6))/10000*(1+$F$18)*(1+$F$19)</f>
        <v>#REF!</v>
      </c>
      <c r="H6" s="7">
        <v>103.3</v>
      </c>
      <c r="I6">
        <f t="shared" ref="I6:I15" si="3">H6/100*C6/11000*B6</f>
        <v>0.30989999999999995</v>
      </c>
      <c r="J6" s="19">
        <f t="shared" si="1"/>
        <v>3.082401269165543E-3</v>
      </c>
      <c r="K6" s="15">
        <f t="shared" ref="K6:K17" si="4">J6*$K$3*(1+$F$18)</f>
        <v>0.35077726443103879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33</v>
      </c>
      <c r="C8" s="7">
        <f t="shared" si="0"/>
        <v>1100</v>
      </c>
      <c r="D8" s="7" t="s">
        <v>16</v>
      </c>
      <c r="E8" s="7">
        <v>1</v>
      </c>
      <c r="F8" s="14">
        <v>0.15</v>
      </c>
      <c r="G8" s="8" t="e">
        <f t="shared" ca="1" si="2"/>
        <v>#REF!</v>
      </c>
      <c r="H8" s="7">
        <v>113.8</v>
      </c>
      <c r="I8">
        <f t="shared" si="3"/>
        <v>3.7553999999999998</v>
      </c>
      <c r="J8" s="19">
        <f t="shared" si="1"/>
        <v>3.7352854876490101E-2</v>
      </c>
      <c r="K8" s="15">
        <f t="shared" si="4"/>
        <v>4.2507548849445733</v>
      </c>
    </row>
    <row r="9" spans="1:13" x14ac:dyDescent="0.35">
      <c r="A9" t="s">
        <v>55</v>
      </c>
      <c r="B9" s="7">
        <v>128</v>
      </c>
      <c r="C9" s="7">
        <f t="shared" si="0"/>
        <v>3300</v>
      </c>
      <c r="D9" s="7" t="s">
        <v>24</v>
      </c>
      <c r="E9" s="7">
        <v>1</v>
      </c>
      <c r="F9" s="14">
        <v>0.02</v>
      </c>
      <c r="G9" s="8" t="e">
        <f t="shared" ca="1" si="2"/>
        <v>#REF!</v>
      </c>
      <c r="H9" s="7">
        <v>101.9</v>
      </c>
      <c r="I9">
        <f t="shared" si="3"/>
        <v>39.129600000000003</v>
      </c>
      <c r="J9" s="19">
        <f t="shared" si="1"/>
        <v>0.38920015715372724</v>
      </c>
      <c r="K9" s="15">
        <f t="shared" si="4"/>
        <v>44.290977884094161</v>
      </c>
    </row>
    <row r="10" spans="1:13" x14ac:dyDescent="0.35">
      <c r="A10" t="s">
        <v>56</v>
      </c>
      <c r="B10" s="7">
        <v>3</v>
      </c>
      <c r="C10" s="7">
        <f t="shared" si="0"/>
        <v>1100</v>
      </c>
      <c r="D10" s="7" t="s">
        <v>14</v>
      </c>
      <c r="E10" s="7">
        <v>1</v>
      </c>
      <c r="F10" s="14">
        <v>0.02</v>
      </c>
      <c r="G10" s="8" t="e">
        <f t="shared" ca="1" si="2"/>
        <v>#REF!</v>
      </c>
      <c r="H10" s="7">
        <v>101.7</v>
      </c>
      <c r="I10">
        <f t="shared" si="3"/>
        <v>0.30509999999999998</v>
      </c>
      <c r="J10" s="19">
        <f t="shared" si="1"/>
        <v>3.0346583647060579E-3</v>
      </c>
      <c r="K10" s="15">
        <f t="shared" si="4"/>
        <v>0.34534412190354935</v>
      </c>
    </row>
    <row r="11" spans="1:13" x14ac:dyDescent="0.35">
      <c r="A11" t="s">
        <v>56</v>
      </c>
      <c r="B11" s="7">
        <v>1</v>
      </c>
      <c r="C11" s="7">
        <f t="shared" si="0"/>
        <v>1100</v>
      </c>
      <c r="D11" s="7" t="s">
        <v>11</v>
      </c>
      <c r="E11" s="7">
        <v>1</v>
      </c>
      <c r="F11" s="14">
        <v>0.02</v>
      </c>
      <c r="G11" s="8" t="e">
        <f t="shared" ca="1" si="2"/>
        <v>#REF!</v>
      </c>
      <c r="H11" s="7">
        <v>101.8</v>
      </c>
      <c r="I11">
        <f t="shared" si="3"/>
        <v>0.1018</v>
      </c>
      <c r="J11" s="19">
        <f t="shared" si="1"/>
        <v>1.0125474320782585E-3</v>
      </c>
      <c r="K11" s="15">
        <f t="shared" si="4"/>
        <v>0.11522789777050582</v>
      </c>
    </row>
    <row r="12" spans="1:13" x14ac:dyDescent="0.35">
      <c r="A12" t="s">
        <v>56</v>
      </c>
      <c r="B12" s="7">
        <v>1</v>
      </c>
      <c r="C12" s="7">
        <f t="shared" si="0"/>
        <v>1100</v>
      </c>
      <c r="D12" s="7" t="s">
        <v>12</v>
      </c>
      <c r="E12" s="7">
        <v>1</v>
      </c>
      <c r="F12" s="14">
        <v>0.02</v>
      </c>
      <c r="G12" s="8" t="e">
        <f t="shared" ca="1" si="2"/>
        <v>#REF!</v>
      </c>
      <c r="H12" s="7">
        <v>101.8</v>
      </c>
      <c r="I12">
        <f t="shared" si="3"/>
        <v>0.1018</v>
      </c>
      <c r="J12" s="19">
        <f t="shared" si="1"/>
        <v>1.0125474320782585E-3</v>
      </c>
      <c r="K12" s="15">
        <f t="shared" si="4"/>
        <v>0.11522789777050582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1100</v>
      </c>
      <c r="D15" s="7" t="s">
        <v>15</v>
      </c>
      <c r="E15" s="7">
        <v>1</v>
      </c>
      <c r="F15" s="14"/>
      <c r="G15" s="8" t="e">
        <f ca="1">B15*C15*E15*(1+F15)/10000*(1+$F$18)*(1+$F$19)</f>
        <v>#REF!</v>
      </c>
      <c r="H15" s="7">
        <v>492.3</v>
      </c>
      <c r="I15">
        <f t="shared" si="3"/>
        <v>0.49230000000000002</v>
      </c>
      <c r="J15" s="19">
        <f t="shared" si="1"/>
        <v>4.8966316386259996E-3</v>
      </c>
      <c r="K15" s="15">
        <f t="shared" si="4"/>
        <v>0.55723668047563879</v>
      </c>
    </row>
    <row r="16" spans="1:13" x14ac:dyDescent="0.35">
      <c r="A16" t="s">
        <v>59</v>
      </c>
      <c r="B16" s="7">
        <v>2</v>
      </c>
      <c r="C16" s="7">
        <f t="shared" si="0"/>
        <v>2200</v>
      </c>
      <c r="D16" s="12" t="s">
        <v>22</v>
      </c>
      <c r="E16" s="7">
        <v>1</v>
      </c>
      <c r="F16" s="14"/>
      <c r="G16" s="8" t="e">
        <f ca="1">(C16*E16*B16*$D$2/1000*$D$3)/10000*(1+$F$18)*(1+$F$19)</f>
        <v>#REF!</v>
      </c>
      <c r="H16" s="7">
        <v>6808.9</v>
      </c>
      <c r="I16">
        <f>H16/100*C16/11000*B16/2</f>
        <v>13.617799999999999</v>
      </c>
      <c r="J16" s="19">
        <f t="shared" si="1"/>
        <v>0.13544860923924665</v>
      </c>
      <c r="K16" s="15">
        <f t="shared" si="4"/>
        <v>15.414051731426268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309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100.5385</v>
      </c>
      <c r="J20" s="15"/>
      <c r="K20" s="18">
        <f>SUM(K5:K17)</f>
        <v>113.80000000000001</v>
      </c>
      <c r="M20" t="s">
        <v>69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7">_xlfn.UNIQUE(_xlfn._xlws.FILTER(D5:D15,D5:D15&lt;&gt;""))</f>
        <v>03300-PES-WEISS</v>
      </c>
      <c r="K22" s="28">
        <f t="shared" ref="K22:K29" si="5">SUMIF($D$5:$D$17,D22,$K$5:$K$17)</f>
        <v>92.651379521277917</v>
      </c>
      <c r="M22" s="32">
        <f t="shared" ref="M22:M28" si="6">SUMIF($D$5:$D$15,D22,$B$5:$B$15)</f>
        <v>266</v>
      </c>
    </row>
    <row r="23" spans="1:13" x14ac:dyDescent="0.35">
      <c r="D23" t="str">
        <v>01100-PES-BLAU</v>
      </c>
      <c r="K23" s="28">
        <f t="shared" si="5"/>
        <v>0.46600516220154464</v>
      </c>
      <c r="M23" s="32">
        <f t="shared" si="6"/>
        <v>4</v>
      </c>
    </row>
    <row r="24" spans="1:13" x14ac:dyDescent="0.35">
      <c r="D24" t="str">
        <v>01100-PES-WEISS</v>
      </c>
      <c r="K24" s="28">
        <f t="shared" si="5"/>
        <v>4.2507548849445733</v>
      </c>
      <c r="M24" s="32">
        <f t="shared" si="6"/>
        <v>33</v>
      </c>
    </row>
    <row r="25" spans="1:13" x14ac:dyDescent="0.35">
      <c r="D25" t="str">
        <v>01100-PES-ROT</v>
      </c>
      <c r="K25" s="28">
        <f t="shared" si="5"/>
        <v>0.34534412190354935</v>
      </c>
      <c r="M25" s="32">
        <f t="shared" si="6"/>
        <v>3</v>
      </c>
    </row>
    <row r="26" spans="1:13" x14ac:dyDescent="0.35">
      <c r="D26" t="str">
        <v>01100-PES-GRUEN</v>
      </c>
      <c r="K26" s="28">
        <f t="shared" si="5"/>
        <v>0.11522789777050582</v>
      </c>
      <c r="M26" s="32">
        <f t="shared" si="6"/>
        <v>1</v>
      </c>
    </row>
    <row r="27" spans="1:13" x14ac:dyDescent="0.35">
      <c r="D27" t="str">
        <v>01100-PES-SCHWARZ</v>
      </c>
      <c r="K27" s="28">
        <f t="shared" si="5"/>
        <v>0.55723668047563879</v>
      </c>
      <c r="M27" s="32">
        <f t="shared" si="6"/>
        <v>1</v>
      </c>
    </row>
    <row r="28" spans="1:13" x14ac:dyDescent="0.35">
      <c r="K28" s="28">
        <f t="shared" si="5"/>
        <v>0</v>
      </c>
      <c r="M28" s="32">
        <f t="shared" si="6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22</v>
      </c>
      <c r="K30" s="15">
        <f>K16+K17</f>
        <v>15.414051731426268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92.651379521277917</v>
      </c>
    </row>
  </sheetData>
  <sortState xmlns:xlrd2="http://schemas.microsoft.com/office/spreadsheetml/2017/richdata2" ref="D31:D34">
    <sortCondition descending="1" ref="D30:D34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272416-B40B-4444-B3FF-E9DA981C2D99}">
          <x14:formula1>
            <xm:f>#REF!</xm:f>
          </x14:formula1>
          <xm:sqref>D5:D17 D29:D30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94D6-B9D7-4141-BC29-F023A2F57F58}">
  <sheetPr codeName="Sheet35"/>
  <dimension ref="A1:M31"/>
  <sheetViews>
    <sheetView topLeftCell="A19" workbookViewId="0">
      <selection activeCell="A31" sqref="A31:K3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5.179687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6675076-048-00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84</v>
      </c>
      <c r="G2" s="8"/>
      <c r="K2" s="21" t="s">
        <v>38</v>
      </c>
    </row>
    <row r="3" spans="1:13" x14ac:dyDescent="0.35">
      <c r="A3" t="s">
        <v>39</v>
      </c>
      <c r="D3" s="4">
        <v>580</v>
      </c>
      <c r="G3" s="5" t="s">
        <v>40</v>
      </c>
      <c r="K3" s="20">
        <v>168.4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202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103.5</v>
      </c>
      <c r="I5">
        <f>H5/100*C5/11000*B5</f>
        <v>62.720999999999989</v>
      </c>
      <c r="J5" s="19">
        <f t="shared" ref="J5:J17" si="1">IFERROR(I5/$I$20,)</f>
        <v>0.42150756443479104</v>
      </c>
      <c r="K5" s="15">
        <f>J5*$K$3*(1+$F$18)</f>
        <v>70.981873850818815</v>
      </c>
    </row>
    <row r="6" spans="1:13" x14ac:dyDescent="0.35">
      <c r="A6" t="s">
        <v>52</v>
      </c>
      <c r="B6" s="7">
        <v>3</v>
      </c>
      <c r="C6" s="7">
        <f t="shared" si="0"/>
        <v>1100</v>
      </c>
      <c r="D6" s="7" t="s">
        <v>11</v>
      </c>
      <c r="E6" s="7">
        <v>1</v>
      </c>
      <c r="F6" s="14">
        <v>0.05</v>
      </c>
      <c r="G6" s="8" t="e">
        <f t="shared" ref="G6:G14" ca="1" si="2">(B6*C6*E6* (1+F6))/10000*(1+$F$18)*(1+$F$19)</f>
        <v>#REF!</v>
      </c>
      <c r="H6" s="7">
        <v>103.6</v>
      </c>
      <c r="I6">
        <f t="shared" ref="I6:I15" si="3">H6/100*C6/11000*B6</f>
        <v>0.31080000000000002</v>
      </c>
      <c r="J6" s="19">
        <f t="shared" si="1"/>
        <v>2.0886872184170068E-3</v>
      </c>
      <c r="K6" s="15">
        <f t="shared" ref="K6:K17" si="4">J6*$K$3*(1+$F$18)</f>
        <v>0.35173492758142394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49</v>
      </c>
      <c r="C8" s="7">
        <f t="shared" si="0"/>
        <v>1100</v>
      </c>
      <c r="D8" s="7" t="s">
        <v>16</v>
      </c>
      <c r="E8" s="7">
        <v>1</v>
      </c>
      <c r="F8" s="14">
        <v>0.15</v>
      </c>
      <c r="G8" s="8" t="e">
        <f t="shared" ca="1" si="2"/>
        <v>#REF!</v>
      </c>
      <c r="H8" s="7">
        <v>118.7</v>
      </c>
      <c r="I8">
        <f t="shared" si="3"/>
        <v>5.8163</v>
      </c>
      <c r="J8" s="19">
        <f t="shared" si="1"/>
        <v>3.9087617337447991E-2</v>
      </c>
      <c r="K8" s="15">
        <f t="shared" si="4"/>
        <v>6.5823547596262424</v>
      </c>
    </row>
    <row r="9" spans="1:13" x14ac:dyDescent="0.35">
      <c r="A9" t="s">
        <v>55</v>
      </c>
      <c r="B9" s="7">
        <v>192</v>
      </c>
      <c r="C9" s="7">
        <f t="shared" si="0"/>
        <v>3300</v>
      </c>
      <c r="D9" s="7" t="s">
        <v>24</v>
      </c>
      <c r="E9" s="7">
        <v>1</v>
      </c>
      <c r="F9" s="14">
        <v>0.02</v>
      </c>
      <c r="G9" s="8" t="e">
        <f t="shared" ca="1" si="2"/>
        <v>#REF!</v>
      </c>
      <c r="H9" s="7">
        <v>101.7</v>
      </c>
      <c r="I9">
        <f t="shared" si="3"/>
        <v>58.579200000000007</v>
      </c>
      <c r="J9" s="19">
        <f t="shared" si="1"/>
        <v>0.39367318630982473</v>
      </c>
      <c r="K9" s="15">
        <f t="shared" si="4"/>
        <v>66.29456457457448</v>
      </c>
    </row>
    <row r="10" spans="1:13" x14ac:dyDescent="0.35">
      <c r="A10" t="s">
        <v>56</v>
      </c>
      <c r="B10" s="7">
        <v>4</v>
      </c>
      <c r="C10" s="7">
        <f t="shared" si="0"/>
        <v>1100</v>
      </c>
      <c r="D10" s="7" t="s">
        <v>14</v>
      </c>
      <c r="E10" s="7">
        <v>1</v>
      </c>
      <c r="F10" s="14">
        <v>0.02</v>
      </c>
      <c r="G10" s="8" t="e">
        <f t="shared" ca="1" si="2"/>
        <v>#REF!</v>
      </c>
      <c r="H10" s="7">
        <v>101.7</v>
      </c>
      <c r="I10">
        <f t="shared" si="3"/>
        <v>0.40679999999999999</v>
      </c>
      <c r="J10" s="19">
        <f t="shared" si="1"/>
        <v>2.7338415715960048E-3</v>
      </c>
      <c r="K10" s="15">
        <f t="shared" si="4"/>
        <v>0.46037892065676722</v>
      </c>
    </row>
    <row r="11" spans="1:13" x14ac:dyDescent="0.35">
      <c r="A11" t="s">
        <v>56</v>
      </c>
      <c r="B11" s="7">
        <v>1</v>
      </c>
      <c r="C11" s="7">
        <f t="shared" si="0"/>
        <v>1100</v>
      </c>
      <c r="D11" s="7" t="s">
        <v>11</v>
      </c>
      <c r="E11" s="7">
        <v>1</v>
      </c>
      <c r="F11" s="14">
        <v>0.02</v>
      </c>
      <c r="G11" s="8" t="e">
        <f t="shared" ca="1" si="2"/>
        <v>#REF!</v>
      </c>
      <c r="H11" s="7">
        <v>101.7</v>
      </c>
      <c r="I11">
        <f t="shared" si="3"/>
        <v>0.1017</v>
      </c>
      <c r="J11" s="19">
        <f t="shared" si="1"/>
        <v>6.8346039289900119E-4</v>
      </c>
      <c r="K11" s="15">
        <f t="shared" si="4"/>
        <v>0.11509473016419181</v>
      </c>
    </row>
    <row r="12" spans="1:13" x14ac:dyDescent="0.35">
      <c r="A12" t="s">
        <v>56</v>
      </c>
      <c r="B12" s="7">
        <v>1</v>
      </c>
      <c r="C12" s="7">
        <f t="shared" si="0"/>
        <v>1100</v>
      </c>
      <c r="D12" s="7" t="s">
        <v>12</v>
      </c>
      <c r="E12" s="7">
        <v>1</v>
      </c>
      <c r="F12" s="14">
        <v>0.02</v>
      </c>
      <c r="G12" s="8" t="e">
        <f t="shared" ca="1" si="2"/>
        <v>#REF!</v>
      </c>
      <c r="H12" s="7">
        <v>101.7</v>
      </c>
      <c r="I12">
        <f t="shared" si="3"/>
        <v>0.1017</v>
      </c>
      <c r="J12" s="19">
        <f t="shared" si="1"/>
        <v>6.8346039289900119E-4</v>
      </c>
      <c r="K12" s="15">
        <f t="shared" si="4"/>
        <v>0.11509473016419181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1100</v>
      </c>
      <c r="D15" s="7" t="s">
        <v>15</v>
      </c>
      <c r="E15" s="7">
        <v>1</v>
      </c>
      <c r="F15" s="14"/>
      <c r="G15" s="8" t="e">
        <f ca="1">B15*C15*E15*(1+F15)/10000*(1+$F$18)*(1+$F$19)</f>
        <v>#REF!</v>
      </c>
      <c r="H15" s="7">
        <v>504.1</v>
      </c>
      <c r="I15">
        <f t="shared" si="3"/>
        <v>0.50409999999999999</v>
      </c>
      <c r="J15" s="19">
        <f t="shared" si="1"/>
        <v>3.3877323899743016E-3</v>
      </c>
      <c r="K15" s="15">
        <f t="shared" si="4"/>
        <v>0.57049413447167241</v>
      </c>
    </row>
    <row r="16" spans="1:13" x14ac:dyDescent="0.35">
      <c r="A16" t="s">
        <v>59</v>
      </c>
      <c r="B16" s="7">
        <v>2</v>
      </c>
      <c r="C16" s="7">
        <f t="shared" si="0"/>
        <v>2200</v>
      </c>
      <c r="D16" s="12" t="s">
        <v>22</v>
      </c>
      <c r="E16" s="7">
        <v>1</v>
      </c>
      <c r="F16" s="14"/>
      <c r="G16" s="8" t="e">
        <f ca="1">(C16*E16*B16*$D$2/1000*$D$3)/10000*(1+$F$18)*(1+$F$19)</f>
        <v>#REF!</v>
      </c>
      <c r="H16" s="7">
        <v>10130</v>
      </c>
      <c r="I16">
        <f>H16/100*C16/11000*B16/2</f>
        <v>20.260000000000002</v>
      </c>
      <c r="J16" s="19">
        <f t="shared" si="1"/>
        <v>0.13615444995215109</v>
      </c>
      <c r="K16" s="15">
        <f t="shared" si="4"/>
        <v>22.928409371942244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454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148.80159999999998</v>
      </c>
      <c r="J20" s="15"/>
      <c r="K20" s="18">
        <f>SUM(K5:K17)</f>
        <v>168.40000000000006</v>
      </c>
      <c r="M20" t="s">
        <v>69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7">_xlfn.UNIQUE(_xlfn._xlws.FILTER(D5:D15,D5:D15&lt;&gt;""))</f>
        <v>03300-PES-WEISS</v>
      </c>
      <c r="K22" s="28">
        <f t="shared" ref="K22:K29" si="5">SUMIF($D$5:$D$17,D22,$K$5:$K$17)</f>
        <v>137.27643842539328</v>
      </c>
      <c r="M22" s="28">
        <f t="shared" ref="M22:M28" si="6">SUMIF($D$5:$D$15,D22,$B$5:$B$15)</f>
        <v>394</v>
      </c>
    </row>
    <row r="23" spans="1:13" x14ac:dyDescent="0.35">
      <c r="D23" t="str">
        <v>01100-PES-BLAU</v>
      </c>
      <c r="K23" s="28">
        <f t="shared" si="5"/>
        <v>0.46682965774561574</v>
      </c>
      <c r="M23" s="28">
        <f t="shared" si="6"/>
        <v>4</v>
      </c>
    </row>
    <row r="24" spans="1:13" x14ac:dyDescent="0.35">
      <c r="D24" t="str">
        <v>01100-PES-WEISS</v>
      </c>
      <c r="K24" s="28">
        <f t="shared" si="5"/>
        <v>6.5823547596262424</v>
      </c>
      <c r="M24" s="28">
        <f t="shared" si="6"/>
        <v>49</v>
      </c>
    </row>
    <row r="25" spans="1:13" x14ac:dyDescent="0.35">
      <c r="D25" t="str">
        <v>01100-PES-ROT</v>
      </c>
      <c r="K25" s="28">
        <f t="shared" si="5"/>
        <v>0.46037892065676722</v>
      </c>
      <c r="M25" s="28">
        <f t="shared" si="6"/>
        <v>4</v>
      </c>
    </row>
    <row r="26" spans="1:13" x14ac:dyDescent="0.35">
      <c r="D26" t="str">
        <v>01100-PES-GRUEN</v>
      </c>
      <c r="K26" s="28">
        <f t="shared" si="5"/>
        <v>0.11509473016419181</v>
      </c>
      <c r="M26" s="28">
        <f t="shared" si="6"/>
        <v>1</v>
      </c>
    </row>
    <row r="27" spans="1:13" x14ac:dyDescent="0.35">
      <c r="D27" t="str">
        <v>01100-PES-SCHWARZ</v>
      </c>
      <c r="K27" s="28">
        <f t="shared" si="5"/>
        <v>0.57049413447167241</v>
      </c>
      <c r="M27" s="28">
        <f t="shared" si="6"/>
        <v>1</v>
      </c>
    </row>
    <row r="28" spans="1:13" x14ac:dyDescent="0.35">
      <c r="K28" s="28">
        <f t="shared" si="5"/>
        <v>0</v>
      </c>
      <c r="M28" s="28">
        <f t="shared" si="6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22</v>
      </c>
      <c r="K30" s="15">
        <f>K16+K17</f>
        <v>22.928409371942244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137.27643842539328</v>
      </c>
    </row>
  </sheetData>
  <sortState xmlns:xlrd2="http://schemas.microsoft.com/office/spreadsheetml/2017/richdata2" ref="D31:D34">
    <sortCondition descending="1" ref="D30:D34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89EA78-4ACD-4494-AD45-E5D47ADE270B}">
          <x14:formula1>
            <xm:f>#REF!</xm:f>
          </x14:formula1>
          <xm:sqref>D5:D17 D29:D30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A5C81-8964-4455-BC55-508507DE132C}">
  <sheetPr codeName="Sheet1"/>
  <dimension ref="A1:M31"/>
  <sheetViews>
    <sheetView topLeftCell="A19" workbookViewId="0">
      <selection activeCell="A31" sqref="A31:K31"/>
    </sheetView>
  </sheetViews>
  <sheetFormatPr defaultColWidth="8.81640625" defaultRowHeight="14.5" x14ac:dyDescent="0.35"/>
  <cols>
    <col min="1" max="1" width="16.81640625" customWidth="1"/>
    <col min="3" max="3" width="9.26953125" customWidth="1"/>
    <col min="4" max="4" width="24.453125" customWidth="1"/>
    <col min="8" max="8" width="10.81640625" customWidth="1"/>
    <col min="9" max="9" width="14.453125" customWidth="1"/>
    <col min="11" max="11" width="11.7265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6675102-048-00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84</v>
      </c>
      <c r="G2" s="8"/>
      <c r="K2" s="21" t="s">
        <v>38</v>
      </c>
    </row>
    <row r="3" spans="1:13" x14ac:dyDescent="0.35">
      <c r="A3" t="s">
        <v>39</v>
      </c>
      <c r="D3" s="4">
        <v>580</v>
      </c>
      <c r="G3" s="5" t="s">
        <v>40</v>
      </c>
      <c r="K3" s="20">
        <v>231.9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278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103.6</v>
      </c>
      <c r="I5">
        <f>H5/100*C5/11000*B5</f>
        <v>86.4024</v>
      </c>
      <c r="J5" s="19">
        <f t="shared" ref="J5:J17" si="1">IFERROR(I5/$I$20,)</f>
        <v>0.42099067463343409</v>
      </c>
      <c r="K5" s="15">
        <f>J5*$K$3*(1+$F$18)</f>
        <v>97.627737447493374</v>
      </c>
    </row>
    <row r="6" spans="1:13" x14ac:dyDescent="0.35">
      <c r="A6" t="s">
        <v>52</v>
      </c>
      <c r="B6" s="7">
        <v>3</v>
      </c>
      <c r="C6" s="7">
        <f t="shared" si="0"/>
        <v>1100</v>
      </c>
      <c r="D6" s="7" t="s">
        <v>11</v>
      </c>
      <c r="E6" s="7">
        <v>1</v>
      </c>
      <c r="F6" s="14">
        <v>0.05</v>
      </c>
      <c r="G6" s="8" t="e">
        <f t="shared" ref="G6:G14" ca="1" si="2">(B6*C6*E6* (1+F6))/10000*(1+$F$18)*(1+$F$19)</f>
        <v>#REF!</v>
      </c>
      <c r="H6" s="7">
        <v>103.6</v>
      </c>
      <c r="I6">
        <f t="shared" ref="I6:I15" si="3">H6/100*C6/11000*B6</f>
        <v>0.31080000000000002</v>
      </c>
      <c r="J6" s="19">
        <f t="shared" si="1"/>
        <v>1.5143549447245832E-3</v>
      </c>
      <c r="K6" s="15">
        <f t="shared" ref="K6:K17" si="4">J6*$K$3*(1+$F$18)</f>
        <v>0.35117891168163085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68</v>
      </c>
      <c r="C8" s="7">
        <f t="shared" si="0"/>
        <v>1100</v>
      </c>
      <c r="D8" s="7" t="s">
        <v>16</v>
      </c>
      <c r="E8" s="7">
        <v>1</v>
      </c>
      <c r="F8" s="14">
        <v>0.15</v>
      </c>
      <c r="G8" s="8" t="e">
        <f t="shared" ca="1" si="2"/>
        <v>#REF!</v>
      </c>
      <c r="H8" s="7">
        <v>120.1</v>
      </c>
      <c r="I8">
        <f t="shared" si="3"/>
        <v>8.1668000000000003</v>
      </c>
      <c r="J8" s="19">
        <f t="shared" si="1"/>
        <v>3.9792258566849183E-2</v>
      </c>
      <c r="K8" s="15">
        <f t="shared" si="4"/>
        <v>9.2278247616523252</v>
      </c>
    </row>
    <row r="9" spans="1:13" x14ac:dyDescent="0.35">
      <c r="A9" t="s">
        <v>55</v>
      </c>
      <c r="B9" s="7">
        <v>268</v>
      </c>
      <c r="C9" s="7">
        <f t="shared" si="0"/>
        <v>3300</v>
      </c>
      <c r="D9" s="7" t="s">
        <v>24</v>
      </c>
      <c r="E9" s="7">
        <v>1</v>
      </c>
      <c r="F9" s="14">
        <v>0.02</v>
      </c>
      <c r="G9" s="8" t="e">
        <f t="shared" ca="1" si="2"/>
        <v>#REF!</v>
      </c>
      <c r="H9" s="7">
        <v>101.7</v>
      </c>
      <c r="I9">
        <f t="shared" si="3"/>
        <v>81.766800000000003</v>
      </c>
      <c r="J9" s="19">
        <f t="shared" si="1"/>
        <v>0.39840398292891266</v>
      </c>
      <c r="K9" s="15">
        <f t="shared" si="4"/>
        <v>92.389883641214851</v>
      </c>
    </row>
    <row r="10" spans="1:13" x14ac:dyDescent="0.35">
      <c r="A10" t="s">
        <v>56</v>
      </c>
      <c r="B10" s="7">
        <v>5</v>
      </c>
      <c r="C10" s="7">
        <f t="shared" si="0"/>
        <v>1100</v>
      </c>
      <c r="D10" s="7" t="s">
        <v>14</v>
      </c>
      <c r="E10" s="7">
        <v>1</v>
      </c>
      <c r="F10" s="14">
        <v>0.02</v>
      </c>
      <c r="G10" s="8" t="e">
        <f t="shared" ca="1" si="2"/>
        <v>#REF!</v>
      </c>
      <c r="H10" s="7">
        <v>101.7</v>
      </c>
      <c r="I10">
        <f t="shared" si="3"/>
        <v>0.50849999999999995</v>
      </c>
      <c r="J10" s="19">
        <f t="shared" si="1"/>
        <v>2.4776367097569191E-3</v>
      </c>
      <c r="K10" s="15">
        <f t="shared" si="4"/>
        <v>0.57456395299262952</v>
      </c>
    </row>
    <row r="11" spans="1:13" x14ac:dyDescent="0.35">
      <c r="A11" t="s">
        <v>56</v>
      </c>
      <c r="B11" s="7">
        <v>1</v>
      </c>
      <c r="C11" s="7">
        <f t="shared" si="0"/>
        <v>1100</v>
      </c>
      <c r="D11" s="7" t="s">
        <v>11</v>
      </c>
      <c r="E11" s="7">
        <v>1</v>
      </c>
      <c r="F11" s="14">
        <v>0.02</v>
      </c>
      <c r="G11" s="8" t="e">
        <f t="shared" ca="1" si="2"/>
        <v>#REF!</v>
      </c>
      <c r="H11" s="7">
        <v>101.7</v>
      </c>
      <c r="I11">
        <f t="shared" si="3"/>
        <v>0.1017</v>
      </c>
      <c r="J11" s="19">
        <f t="shared" si="1"/>
        <v>4.9552734195138382E-4</v>
      </c>
      <c r="K11" s="15">
        <f t="shared" si="4"/>
        <v>0.11491279059852591</v>
      </c>
    </row>
    <row r="12" spans="1:13" x14ac:dyDescent="0.35">
      <c r="A12" t="s">
        <v>56</v>
      </c>
      <c r="B12" s="7">
        <v>1</v>
      </c>
      <c r="C12" s="7">
        <f t="shared" si="0"/>
        <v>1100</v>
      </c>
      <c r="D12" s="7" t="s">
        <v>12</v>
      </c>
      <c r="E12" s="7">
        <v>1</v>
      </c>
      <c r="F12" s="14">
        <v>0.02</v>
      </c>
      <c r="G12" s="8" t="e">
        <f t="shared" ca="1" si="2"/>
        <v>#REF!</v>
      </c>
      <c r="H12" s="7">
        <v>101.7</v>
      </c>
      <c r="I12">
        <f t="shared" si="3"/>
        <v>0.1017</v>
      </c>
      <c r="J12" s="19">
        <f t="shared" si="1"/>
        <v>4.9552734195138382E-4</v>
      </c>
      <c r="K12" s="15">
        <f t="shared" si="4"/>
        <v>0.11491279059852591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1100</v>
      </c>
      <c r="D15" s="7" t="s">
        <v>15</v>
      </c>
      <c r="E15" s="7">
        <v>1</v>
      </c>
      <c r="F15" s="14"/>
      <c r="G15" s="8" t="e">
        <f ca="1">B15*C15*E15*(1+F15)/10000*(1+$F$18)*(1+$F$19)</f>
        <v>#REF!</v>
      </c>
      <c r="H15" s="7">
        <v>547</v>
      </c>
      <c r="I15">
        <f t="shared" si="3"/>
        <v>0.54700000000000004</v>
      </c>
      <c r="J15" s="19">
        <f t="shared" si="1"/>
        <v>2.6652257231800096E-3</v>
      </c>
      <c r="K15" s="15">
        <f t="shared" si="4"/>
        <v>0.61806584520544428</v>
      </c>
    </row>
    <row r="16" spans="1:13" x14ac:dyDescent="0.35">
      <c r="A16" t="s">
        <v>59</v>
      </c>
      <c r="B16" s="7">
        <v>2</v>
      </c>
      <c r="C16" s="7">
        <f t="shared" si="0"/>
        <v>2200</v>
      </c>
      <c r="D16" s="12" t="s">
        <v>22</v>
      </c>
      <c r="E16" s="7">
        <v>1</v>
      </c>
      <c r="F16" s="14"/>
      <c r="G16" s="8" t="e">
        <f ca="1">(C16*E16*B16*$D$2/1000*$D$3)/10000*(1+$F$18)*(1+$F$19)</f>
        <v>#REF!</v>
      </c>
      <c r="H16" s="7">
        <v>13665.1</v>
      </c>
      <c r="I16">
        <f>H16/100*C16/11000*B16/2</f>
        <v>27.330200000000001</v>
      </c>
      <c r="J16" s="19">
        <f t="shared" si="1"/>
        <v>0.13316481180924003</v>
      </c>
      <c r="K16" s="15">
        <f t="shared" si="4"/>
        <v>30.880919858562763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626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205.23589999999996</v>
      </c>
      <c r="J20" s="15"/>
      <c r="K20" s="18">
        <f>SUM(K5:K17)</f>
        <v>231.90000000000009</v>
      </c>
    </row>
    <row r="21" spans="1:13" x14ac:dyDescent="0.35">
      <c r="G21" s="9"/>
      <c r="M21" t="s">
        <v>69</v>
      </c>
    </row>
    <row r="22" spans="1:13" x14ac:dyDescent="0.35">
      <c r="A22" t="s">
        <v>66</v>
      </c>
      <c r="D22" t="str" cm="1">
        <f t="array" ref="D22:D27">_xlfn.UNIQUE(_xlfn._xlws.FILTER(D5:D15,D5:D15&lt;&gt;""))</f>
        <v>03300-PES-WEISS</v>
      </c>
      <c r="K22" s="28">
        <f t="shared" ref="K22:K29" si="5">SUMIF($D$5:$D$17,D22,$K$5:$K$17)</f>
        <v>190.01762108870821</v>
      </c>
      <c r="M22" s="32">
        <f t="shared" ref="M22:M28" si="6">SUMIF($D$5:$D$15,D22,$B$5:$B$15)</f>
        <v>546</v>
      </c>
    </row>
    <row r="23" spans="1:13" x14ac:dyDescent="0.35">
      <c r="D23" t="str">
        <v>01100-PES-BLAU</v>
      </c>
      <c r="K23" s="28">
        <f t="shared" si="5"/>
        <v>0.46609170228015673</v>
      </c>
      <c r="M23" s="32">
        <f t="shared" si="6"/>
        <v>4</v>
      </c>
    </row>
    <row r="24" spans="1:13" x14ac:dyDescent="0.35">
      <c r="D24" t="str">
        <v>01100-PES-WEISS</v>
      </c>
      <c r="K24" s="28">
        <f t="shared" si="5"/>
        <v>9.2278247616523252</v>
      </c>
      <c r="M24" s="32">
        <f t="shared" si="6"/>
        <v>68</v>
      </c>
    </row>
    <row r="25" spans="1:13" x14ac:dyDescent="0.35">
      <c r="D25" t="str">
        <v>01100-PES-ROT</v>
      </c>
      <c r="K25" s="28">
        <f t="shared" si="5"/>
        <v>0.57456395299262952</v>
      </c>
      <c r="M25" s="32">
        <f t="shared" si="6"/>
        <v>5</v>
      </c>
    </row>
    <row r="26" spans="1:13" x14ac:dyDescent="0.35">
      <c r="D26" t="str">
        <v>01100-PES-GRUEN</v>
      </c>
      <c r="K26" s="28">
        <f t="shared" si="5"/>
        <v>0.11491279059852591</v>
      </c>
      <c r="M26" s="32">
        <f t="shared" si="6"/>
        <v>1</v>
      </c>
    </row>
    <row r="27" spans="1:13" x14ac:dyDescent="0.35">
      <c r="D27" t="str">
        <v>01100-PES-SCHWARZ</v>
      </c>
      <c r="K27" s="28">
        <f t="shared" si="5"/>
        <v>0.61806584520544428</v>
      </c>
      <c r="M27" s="32">
        <f t="shared" si="6"/>
        <v>1</v>
      </c>
    </row>
    <row r="28" spans="1:13" x14ac:dyDescent="0.35">
      <c r="K28" s="28">
        <f t="shared" si="5"/>
        <v>0</v>
      </c>
      <c r="M28" s="32">
        <f t="shared" si="6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22</v>
      </c>
      <c r="K30" s="15">
        <f>K16+K17</f>
        <v>30.880919858562763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190.01762108870821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C5A631-2A3E-406C-95CB-2A9C5824E250}">
          <x14:formula1>
            <xm:f>#REF!</xm:f>
          </x14:formula1>
          <xm:sqref>D5:D17 D29:D30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6A3AA-424C-407E-8A86-0CBA3CA86B1B}">
  <sheetPr codeName="Sheet40"/>
  <dimension ref="A1:M31"/>
  <sheetViews>
    <sheetView topLeftCell="A27" workbookViewId="0">
      <selection activeCell="D42" sqref="D42"/>
    </sheetView>
  </sheetViews>
  <sheetFormatPr defaultColWidth="11.7265625" defaultRowHeight="14.5" x14ac:dyDescent="0.35"/>
  <cols>
    <col min="1" max="1" width="18.26953125" bestFit="1" customWidth="1"/>
    <col min="4" max="4" width="29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2.81640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6622051-094-00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52</v>
      </c>
      <c r="G2" s="8"/>
      <c r="K2" s="21" t="s">
        <v>38</v>
      </c>
    </row>
    <row r="3" spans="1:13" x14ac:dyDescent="0.35">
      <c r="A3" t="s">
        <v>39</v>
      </c>
      <c r="D3" s="4">
        <v>535</v>
      </c>
      <c r="G3" s="5" t="s">
        <v>40</v>
      </c>
      <c r="K3" s="20">
        <v>93.9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12">
        <v>226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0.04</v>
      </c>
      <c r="G5" s="8" t="e">
        <f ca="1">(B5*C5*E5* (1+F5))/10000*(1+$F$18)*(1+$F$19)</f>
        <v>#REF!</v>
      </c>
      <c r="H5" s="7">
        <v>104.1</v>
      </c>
      <c r="I5">
        <f>H5/100*C5/11000*B5</f>
        <v>70.579799999999992</v>
      </c>
      <c r="J5" s="19">
        <f t="shared" ref="J5:J17" si="1">IFERROR(I5/$I$20,)</f>
        <v>0.87496234477680235</v>
      </c>
      <c r="K5" s="15">
        <f>J5*$K$3*(1+$F$18)</f>
        <v>82.158964174541751</v>
      </c>
    </row>
    <row r="6" spans="1:13" x14ac:dyDescent="0.35">
      <c r="B6" s="7">
        <v>8</v>
      </c>
      <c r="C6" s="7">
        <f t="shared" si="0"/>
        <v>3300</v>
      </c>
      <c r="D6" s="7" t="s">
        <v>24</v>
      </c>
      <c r="E6" s="7">
        <v>1</v>
      </c>
      <c r="F6" s="14">
        <v>4.4999999999999998E-2</v>
      </c>
      <c r="G6" s="8" t="e">
        <f ca="1">(B6*C6*E6* (1+F6))/10000*(1+$F$18)*(1+$F$19)</f>
        <v>#REF!</v>
      </c>
      <c r="H6" s="7"/>
      <c r="I6">
        <f>H6/100*C6/11000*B6</f>
        <v>0</v>
      </c>
      <c r="J6" s="19">
        <f t="shared" si="1"/>
        <v>0</v>
      </c>
      <c r="K6" s="15">
        <f t="shared" ref="K6:K17" si="2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ca="1">(B7*C7*E7* (1+F7))/10000*(1+$F$18)*(1+$F$19)</f>
        <v>#REF!</v>
      </c>
      <c r="H7" s="7">
        <v>104.1</v>
      </c>
      <c r="I7">
        <f>H7/100*C7/11000*B7</f>
        <v>0</v>
      </c>
      <c r="J7" s="19">
        <f t="shared" si="1"/>
        <v>0</v>
      </c>
      <c r="K7" s="15">
        <f t="shared" si="2"/>
        <v>0</v>
      </c>
    </row>
    <row r="8" spans="1:13" x14ac:dyDescent="0.35">
      <c r="A8" t="s">
        <v>54</v>
      </c>
      <c r="B8" s="7">
        <v>58</v>
      </c>
      <c r="C8" s="7">
        <f t="shared" si="0"/>
        <v>550</v>
      </c>
      <c r="D8" s="7" t="s">
        <v>3</v>
      </c>
      <c r="E8" s="7">
        <v>1</v>
      </c>
      <c r="F8" s="14">
        <v>0.20499999999999999</v>
      </c>
      <c r="G8" s="8" t="e">
        <f t="shared" ref="G8:G14" ca="1" si="3">(B8*C8*E8* (1+F8))/10000*(1+$F$18)*(1+$F$19)</f>
        <v>#REF!</v>
      </c>
      <c r="H8" s="7">
        <v>121.6</v>
      </c>
      <c r="I8">
        <f t="shared" ref="I8:I15" si="4">H8/100*C8/11000*B8</f>
        <v>3.5263999999999998</v>
      </c>
      <c r="J8" s="19">
        <f t="shared" si="1"/>
        <v>4.3716009575273891E-2</v>
      </c>
      <c r="K8" s="15">
        <f t="shared" si="2"/>
        <v>4.104933299118219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3"/>
        <v>#REF!</v>
      </c>
      <c r="H9" s="7"/>
      <c r="I9">
        <f t="shared" si="4"/>
        <v>0</v>
      </c>
      <c r="J9" s="19">
        <f t="shared" si="1"/>
        <v>0</v>
      </c>
      <c r="K9" s="15">
        <f t="shared" si="2"/>
        <v>0</v>
      </c>
    </row>
    <row r="10" spans="1:13" x14ac:dyDescent="0.35">
      <c r="A10" t="s">
        <v>52</v>
      </c>
      <c r="B10" s="7">
        <v>8</v>
      </c>
      <c r="C10" s="7">
        <f t="shared" si="0"/>
        <v>1100</v>
      </c>
      <c r="D10" s="7" t="s">
        <v>13</v>
      </c>
      <c r="E10" s="7"/>
      <c r="F10" s="14"/>
      <c r="G10" s="8" t="e">
        <f t="shared" ca="1" si="3"/>
        <v>#REF!</v>
      </c>
      <c r="H10" s="7">
        <v>104</v>
      </c>
      <c r="I10">
        <f t="shared" si="4"/>
        <v>0.83199999999999996</v>
      </c>
      <c r="J10" s="19">
        <f t="shared" si="1"/>
        <v>1.0314122041353187E-2</v>
      </c>
      <c r="K10" s="15">
        <f t="shared" si="2"/>
        <v>0.96849605968306429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3"/>
        <v>#REF!</v>
      </c>
      <c r="H11" s="7"/>
      <c r="I11">
        <f t="shared" si="4"/>
        <v>0</v>
      </c>
      <c r="J11" s="19">
        <f t="shared" si="1"/>
        <v>0</v>
      </c>
      <c r="K11" s="15">
        <f t="shared" si="2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3"/>
        <v>#REF!</v>
      </c>
      <c r="H12" s="7"/>
      <c r="I12">
        <f t="shared" si="4"/>
        <v>0</v>
      </c>
      <c r="J12" s="19">
        <f t="shared" si="1"/>
        <v>0</v>
      </c>
      <c r="K12" s="15">
        <f t="shared" si="2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3"/>
        <v>#REF!</v>
      </c>
      <c r="H13" s="7"/>
      <c r="I13">
        <f t="shared" si="4"/>
        <v>0</v>
      </c>
      <c r="J13" s="19">
        <f t="shared" si="1"/>
        <v>0</v>
      </c>
      <c r="K13" s="15">
        <f t="shared" si="2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3"/>
        <v>#REF!</v>
      </c>
      <c r="H14" s="7"/>
      <c r="I14">
        <f t="shared" si="4"/>
        <v>0</v>
      </c>
      <c r="J14" s="19">
        <f t="shared" si="1"/>
        <v>0</v>
      </c>
      <c r="K14" s="15">
        <f t="shared" si="2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396</v>
      </c>
      <c r="I15">
        <f t="shared" si="4"/>
        <v>0.19800000000000001</v>
      </c>
      <c r="J15" s="19">
        <f t="shared" si="1"/>
        <v>2.4545626973412633E-3</v>
      </c>
      <c r="K15" s="15">
        <f t="shared" si="2"/>
        <v>0.23048343728034462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5529.9</v>
      </c>
      <c r="I16">
        <f>H16/100*C16/11000*B16/2</f>
        <v>5.5299000000000005</v>
      </c>
      <c r="J16" s="19">
        <f t="shared" si="1"/>
        <v>6.8552960909229563E-2</v>
      </c>
      <c r="K16" s="15">
        <f t="shared" si="2"/>
        <v>6.4371230293766564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2"/>
        <v>0</v>
      </c>
    </row>
    <row r="18" spans="1:13" x14ac:dyDescent="0.35">
      <c r="B18">
        <f>SUM(B5:B17)-1</f>
        <v>302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80.666099999999972</v>
      </c>
      <c r="J20" s="15"/>
      <c r="K20" s="18">
        <f>SUM(K5:K17)</f>
        <v>93.90000000000002</v>
      </c>
    </row>
    <row r="21" spans="1:13" x14ac:dyDescent="0.35">
      <c r="G21" s="9"/>
      <c r="M21" t="s">
        <v>69</v>
      </c>
    </row>
    <row r="22" spans="1:13" x14ac:dyDescent="0.35">
      <c r="A22" t="s">
        <v>66</v>
      </c>
      <c r="D22" t="str" cm="1">
        <f t="array" ref="D22:D24">_xlfn.UNIQUE(_xlfn._xlws.FILTER(D5:D15,D5:D15&lt;&gt;""))</f>
        <v>03300-PES-WEISS</v>
      </c>
      <c r="K22" s="28">
        <f t="shared" ref="K22:K29" si="5">SUMIF($D$5:$D$17,D22,$K$5:$K$17)</f>
        <v>82.158964174541751</v>
      </c>
      <c r="M22" s="32">
        <f>SUMIF($D$5:$D$15,D22,$B$5:$B$15)</f>
        <v>234</v>
      </c>
    </row>
    <row r="23" spans="1:13" x14ac:dyDescent="0.35">
      <c r="D23" t="str">
        <v>00550-PES-WEISS</v>
      </c>
      <c r="K23" s="28">
        <f t="shared" si="5"/>
        <v>4.3354167363985638</v>
      </c>
      <c r="M23" s="32">
        <f>SUMIF($D$5:$D$15,D23,$B$5:$B$15)</f>
        <v>59</v>
      </c>
    </row>
    <row r="24" spans="1:13" x14ac:dyDescent="0.35">
      <c r="D24" t="str">
        <v>01100-PES-ORANGE</v>
      </c>
      <c r="K24" s="28">
        <f t="shared" si="5"/>
        <v>0.96849605968306429</v>
      </c>
      <c r="M24" s="32">
        <f>SUMIF($D$5:$D$15,D24,$B$5:$B$15)</f>
        <v>8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6.4371230293766564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82.158964174541751</v>
      </c>
    </row>
  </sheetData>
  <sortState xmlns:xlrd2="http://schemas.microsoft.com/office/spreadsheetml/2017/richdata2" ref="D31:D32">
    <sortCondition descending="1" ref="D30:D32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139032C-C08C-477D-A133-0EFD2267B327}">
          <x14:formula1>
            <xm:f>#REF!</xm:f>
          </x14:formula1>
          <xm:sqref>D5:D17 D29:D30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8664E-366D-4147-A5BC-6A7D2634B23C}">
  <sheetPr codeName="Sheet30"/>
  <dimension ref="A1:M31"/>
  <sheetViews>
    <sheetView topLeftCell="A18" workbookViewId="0">
      <selection activeCell="A31" sqref="A31:K3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3.81640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6622076-094-00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80</v>
      </c>
      <c r="G2" s="8"/>
      <c r="K2" s="21" t="s">
        <v>38</v>
      </c>
    </row>
    <row r="3" spans="1:13" x14ac:dyDescent="0.35">
      <c r="A3" t="s">
        <v>39</v>
      </c>
      <c r="D3" s="4">
        <v>520</v>
      </c>
      <c r="G3" s="5" t="s">
        <v>40</v>
      </c>
      <c r="K3" s="20">
        <v>141.1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348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0.06</v>
      </c>
      <c r="G5" s="8" t="e">
        <f ca="1">(B5*C5*E5* (1+F5))/10000*(1+$F$18)*(1+$F$19)</f>
        <v>#REF!</v>
      </c>
      <c r="H5" s="7">
        <v>104.2</v>
      </c>
      <c r="I5">
        <f>H5/100*C5/11000*B5</f>
        <v>108.78479999999999</v>
      </c>
      <c r="J5" s="19">
        <f t="shared" ref="J5:J17" si="1">IFERROR(I5/$I$20,)</f>
        <v>0.86860685297214035</v>
      </c>
      <c r="K5" s="15">
        <f>J5*$K$3*(1+$F$18)</f>
        <v>122.56042695436899</v>
      </c>
    </row>
    <row r="6" spans="1:13" x14ac:dyDescent="0.35">
      <c r="A6" t="s">
        <v>52</v>
      </c>
      <c r="B6" s="7">
        <v>8</v>
      </c>
      <c r="C6" s="7">
        <f t="shared" si="0"/>
        <v>1100</v>
      </c>
      <c r="D6" s="7" t="s">
        <v>13</v>
      </c>
      <c r="E6" s="7"/>
      <c r="F6" s="14">
        <v>0.06</v>
      </c>
      <c r="G6" s="8" t="e">
        <f t="shared" ref="G6:G14" ca="1" si="2">(B6*C6*E6* (1+F6))/10000*(1+$F$18)*(1+$F$19)</f>
        <v>#REF!</v>
      </c>
      <c r="H6" s="7">
        <v>104.2</v>
      </c>
      <c r="I6">
        <f t="shared" ref="I6:I15" si="3">H6/100*C6/11000*B6</f>
        <v>0.83360000000000001</v>
      </c>
      <c r="J6" s="19">
        <f t="shared" si="1"/>
        <v>6.655991210514486E-3</v>
      </c>
      <c r="K6" s="15">
        <f t="shared" ref="K6:K17" si="4">J6*$K$3*(1+$F$18)</f>
        <v>0.93916035980359391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58</v>
      </c>
      <c r="C8" s="7">
        <f t="shared" si="0"/>
        <v>1100</v>
      </c>
      <c r="D8" s="7" t="s">
        <v>16</v>
      </c>
      <c r="E8" s="7"/>
      <c r="F8" s="14">
        <v>0.2</v>
      </c>
      <c r="G8" s="8" t="e">
        <f t="shared" ca="1" si="2"/>
        <v>#REF!</v>
      </c>
      <c r="H8" s="7">
        <v>121.9</v>
      </c>
      <c r="I8">
        <f t="shared" si="3"/>
        <v>7.0702000000000007</v>
      </c>
      <c r="J8" s="19">
        <f t="shared" si="1"/>
        <v>5.6452961920081E-2</v>
      </c>
      <c r="K8" s="15">
        <f t="shared" si="4"/>
        <v>7.965512926923429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385.7</v>
      </c>
      <c r="I15">
        <f t="shared" si="3"/>
        <v>0.19284999999999999</v>
      </c>
      <c r="J15" s="19">
        <f t="shared" si="1"/>
        <v>1.5398367381810444E-3</v>
      </c>
      <c r="K15" s="15">
        <f t="shared" si="4"/>
        <v>0.21727096375734536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8359.1</v>
      </c>
      <c r="I16">
        <f>H16/100*C16/11000*B16/2</f>
        <v>8.3590999999999998</v>
      </c>
      <c r="J16" s="19">
        <f t="shared" si="1"/>
        <v>6.6744357159083056E-2</v>
      </c>
      <c r="K16" s="15">
        <f t="shared" si="4"/>
        <v>9.4176287951466193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416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125.24055</v>
      </c>
      <c r="J20" s="15"/>
      <c r="K20" s="18">
        <f>SUM(K5:K17)</f>
        <v>141.1</v>
      </c>
    </row>
    <row r="21" spans="1:13" x14ac:dyDescent="0.35">
      <c r="G21" s="9"/>
      <c r="M21" t="s">
        <v>69</v>
      </c>
    </row>
    <row r="22" spans="1:13" x14ac:dyDescent="0.35">
      <c r="A22" t="s">
        <v>66</v>
      </c>
      <c r="D22" t="str" cm="1">
        <f t="array" ref="D22:D25">_xlfn.UNIQUE(_xlfn._xlws.FILTER(D5:D15,D5:D15&lt;&gt;""))</f>
        <v>03300-PES-WEISS</v>
      </c>
      <c r="K22" s="28">
        <f t="shared" ref="K22:K29" si="5">SUMIF($D$5:$D$17,D22,$K$5:$K$17)</f>
        <v>122.56042695436899</v>
      </c>
      <c r="M22" s="32">
        <f>SUMIF($D$5:$D$15,D22,$B$5:$B$15)</f>
        <v>348</v>
      </c>
    </row>
    <row r="23" spans="1:13" x14ac:dyDescent="0.35">
      <c r="D23" t="str">
        <v>01100-PES-ORANGE</v>
      </c>
      <c r="K23" s="28">
        <f t="shared" si="5"/>
        <v>0.93916035980359391</v>
      </c>
      <c r="M23" s="32">
        <f>SUMIF($D$5:$D$15,D23,$B$5:$B$15)</f>
        <v>8</v>
      </c>
    </row>
    <row r="24" spans="1:13" x14ac:dyDescent="0.35">
      <c r="D24" t="str">
        <v>01100-PES-WEISS</v>
      </c>
      <c r="K24" s="28">
        <f t="shared" si="5"/>
        <v>17.38314172207005</v>
      </c>
      <c r="M24" s="32">
        <f>SUMIF($D$5:$D$15,D24,$B$5:$B$15)</f>
        <v>58</v>
      </c>
    </row>
    <row r="25" spans="1:13" x14ac:dyDescent="0.35">
      <c r="D25" t="str">
        <v>00550-PES-WEISS</v>
      </c>
      <c r="K25" s="28">
        <f t="shared" si="5"/>
        <v>0.21727096375734536</v>
      </c>
      <c r="M25" s="32">
        <f>SUMIF($D$5:$D$15,D25,$B$5:$B$15)</f>
        <v>1</v>
      </c>
    </row>
    <row r="26" spans="1:13" x14ac:dyDescent="0.35">
      <c r="K26" s="28">
        <f t="shared" si="5"/>
        <v>0</v>
      </c>
      <c r="M26" s="32">
        <f>SUMIF($D$5:$D$15,D26,$B$5:$B$15)</f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9.4176287951466193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122.56042695436899</v>
      </c>
    </row>
  </sheetData>
  <sortState xmlns:xlrd2="http://schemas.microsoft.com/office/spreadsheetml/2017/richdata2" ref="D31:D32">
    <sortCondition descending="1" ref="D30:D32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69C701-14E9-45A1-88AC-89781CBB56F6}">
          <x14:formula1>
            <xm:f>#REF!</xm:f>
          </x14:formula1>
          <xm:sqref>D5:D17 D29:D30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CC924-22A8-484D-88E9-5BB8BC3BE3D2}">
  <sheetPr codeName="Sheet54">
    <tabColor rgb="FF7030A0"/>
  </sheetPr>
  <dimension ref="A1:M31"/>
  <sheetViews>
    <sheetView topLeftCell="A19" workbookViewId="0">
      <selection activeCell="A31" sqref="A31:K3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3.453125" customWidth="1"/>
    <col min="10" max="10" width="7.81640625" customWidth="1"/>
    <col min="11" max="11" width="14.179687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6622102-094-00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105.4</v>
      </c>
      <c r="G2" s="8"/>
      <c r="K2" s="21" t="s">
        <v>38</v>
      </c>
    </row>
    <row r="3" spans="1:13" x14ac:dyDescent="0.35">
      <c r="A3" t="s">
        <v>39</v>
      </c>
      <c r="D3" s="4">
        <v>520</v>
      </c>
      <c r="G3" s="5" t="s">
        <v>40</v>
      </c>
      <c r="K3" s="20">
        <v>186.6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462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0.06</v>
      </c>
      <c r="G5" s="8" t="e">
        <f ca="1">(B5*C5*E5* (1+F5))/10000*(1+$F$18)*(1+$F$19)</f>
        <v>#REF!</v>
      </c>
      <c r="H5" s="7">
        <v>104.2</v>
      </c>
      <c r="I5">
        <f>H5/100*C5/11000*B5</f>
        <v>144.4212</v>
      </c>
      <c r="J5" s="19">
        <f t="shared" ref="J5:J17" si="1">IFERROR(I5/$I$20,)</f>
        <v>0.87407615874500122</v>
      </c>
      <c r="K5" s="15">
        <f>J5*$K$3*(1+$F$18)</f>
        <v>163.10261122181723</v>
      </c>
    </row>
    <row r="6" spans="1:13" x14ac:dyDescent="0.35">
      <c r="A6" t="s">
        <v>52</v>
      </c>
      <c r="B6" s="7">
        <v>8</v>
      </c>
      <c r="C6" s="7">
        <f t="shared" si="0"/>
        <v>1100</v>
      </c>
      <c r="D6" s="7" t="s">
        <v>13</v>
      </c>
      <c r="E6" s="7"/>
      <c r="F6" s="14">
        <v>0.06</v>
      </c>
      <c r="G6" s="8" t="e">
        <f t="shared" ref="G6:G14" ca="1" si="2">(B6*C6*E6* (1+F6))/10000*(1+$F$18)*(1+$F$19)</f>
        <v>#REF!</v>
      </c>
      <c r="H6" s="7">
        <v>105.2</v>
      </c>
      <c r="I6">
        <f t="shared" ref="I6:I15" si="3">H6/100*C6/11000*B6</f>
        <v>0.84160000000000001</v>
      </c>
      <c r="J6" s="19">
        <f t="shared" si="1"/>
        <v>5.0935907969175791E-3</v>
      </c>
      <c r="K6" s="15">
        <f t="shared" ref="K6:K17" si="4">J6*$K$3*(1+$F$18)</f>
        <v>0.95046404270482021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77</v>
      </c>
      <c r="C8" s="7">
        <f t="shared" si="0"/>
        <v>1100</v>
      </c>
      <c r="D8" s="7" t="s">
        <v>16</v>
      </c>
      <c r="E8" s="7"/>
      <c r="F8" s="14">
        <v>0.2</v>
      </c>
      <c r="G8" s="8" t="e">
        <f t="shared" ca="1" si="2"/>
        <v>#REF!</v>
      </c>
      <c r="H8" s="7">
        <v>120</v>
      </c>
      <c r="I8">
        <f t="shared" si="3"/>
        <v>9.24</v>
      </c>
      <c r="J8" s="19">
        <f t="shared" si="1"/>
        <v>5.5922978806462013E-2</v>
      </c>
      <c r="K8" s="15">
        <f t="shared" si="4"/>
        <v>10.435227845285812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384.5</v>
      </c>
      <c r="I15">
        <f t="shared" si="3"/>
        <v>0.19225</v>
      </c>
      <c r="J15" s="19">
        <f t="shared" si="1"/>
        <v>1.1635489908595586E-3</v>
      </c>
      <c r="K15" s="15">
        <f t="shared" si="4"/>
        <v>0.21711824169439364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10532.2</v>
      </c>
      <c r="I16">
        <f>H16/100*C16/11000*B16/2</f>
        <v>10.5322</v>
      </c>
      <c r="J16" s="19">
        <f t="shared" si="1"/>
        <v>6.3743722660759644E-2</v>
      </c>
      <c r="K16" s="15">
        <f t="shared" si="4"/>
        <v>11.894578648497749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549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165.22725</v>
      </c>
      <c r="J20" s="15"/>
      <c r="K20" s="18">
        <f>SUM(K5:K17)</f>
        <v>186.60000000000002</v>
      </c>
      <c r="M20" t="s">
        <v>69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5">_xlfn.UNIQUE(_xlfn._xlws.FILTER(D5:D15,D5:D15&lt;&gt;""))</f>
        <v>03300-PES-WEISS</v>
      </c>
      <c r="K22" s="28">
        <f t="shared" ref="K22:K29" si="5">SUMIF($D$5:$D$17,D22,$K$5:$K$17)</f>
        <v>163.10261122181723</v>
      </c>
      <c r="M22" s="32">
        <f>SUMIF($D$5:$D$15,D22,$B$5:$B$15)</f>
        <v>462</v>
      </c>
    </row>
    <row r="23" spans="1:13" x14ac:dyDescent="0.35">
      <c r="D23" t="str">
        <v>01100-PES-ORANGE</v>
      </c>
      <c r="K23" s="28">
        <f t="shared" si="5"/>
        <v>0.95046404270482021</v>
      </c>
      <c r="M23" s="32">
        <f>SUMIF($D$5:$D$15,D23,$B$5:$B$15)</f>
        <v>8</v>
      </c>
    </row>
    <row r="24" spans="1:13" x14ac:dyDescent="0.35">
      <c r="D24" t="str">
        <v>01100-PES-WEISS</v>
      </c>
      <c r="K24" s="28">
        <f t="shared" si="5"/>
        <v>22.329806493783561</v>
      </c>
      <c r="M24" s="32">
        <f>SUMIF($D$5:$D$15,D24,$B$5:$B$15)</f>
        <v>77</v>
      </c>
    </row>
    <row r="25" spans="1:13" x14ac:dyDescent="0.35">
      <c r="D25" t="str">
        <v>00550-PES-WEISS</v>
      </c>
      <c r="K25" s="28">
        <f t="shared" si="5"/>
        <v>0.21711824169439364</v>
      </c>
      <c r="M25" s="32">
        <f>SUMIF($D$5:$D$15,D25,$B$5:$B$15)</f>
        <v>1</v>
      </c>
    </row>
    <row r="26" spans="1:13" x14ac:dyDescent="0.35">
      <c r="K26" s="28">
        <f t="shared" si="5"/>
        <v>0</v>
      </c>
      <c r="M26" s="32">
        <f>SUMIF($D$5:$D$15,D26,$B$5:$B$15)</f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11.894578648497749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163.10261122181723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0217A9-8676-4AAA-A866-CFC94BC3384D}">
          <x14:formula1>
            <xm:f>#REF!</xm:f>
          </x14:formula1>
          <xm:sqref>D5:D17 D29:D30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F627C-D808-4F48-A18E-809612DF388F}">
  <sheetPr codeName="Sheet31"/>
  <dimension ref="A1:R31"/>
  <sheetViews>
    <sheetView topLeftCell="A17" workbookViewId="0">
      <selection activeCell="G5" sqref="G5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7" max="7" width="21.7265625" customWidth="1"/>
    <col min="8" max="8" width="11" bestFit="1" customWidth="1"/>
    <col min="9" max="9" width="21.81640625" customWidth="1"/>
    <col min="10" max="10" width="18.453125" customWidth="1"/>
    <col min="11" max="11" width="15.26953125" customWidth="1"/>
  </cols>
  <sheetData>
    <row r="1" spans="1:18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6624051-093-00</v>
      </c>
      <c r="E1" s="2"/>
      <c r="F1" s="3"/>
      <c r="G1" s="8"/>
      <c r="M1" s="31" t="s">
        <v>36</v>
      </c>
    </row>
    <row r="2" spans="1:18" x14ac:dyDescent="0.35">
      <c r="A2" t="s">
        <v>37</v>
      </c>
      <c r="C2" s="6"/>
      <c r="D2" s="4">
        <v>55</v>
      </c>
      <c r="G2" s="8"/>
      <c r="K2" s="21" t="s">
        <v>38</v>
      </c>
    </row>
    <row r="3" spans="1:18" x14ac:dyDescent="0.35">
      <c r="A3" t="s">
        <v>39</v>
      </c>
      <c r="D3" s="4">
        <v>510</v>
      </c>
      <c r="G3" s="5" t="s">
        <v>40</v>
      </c>
      <c r="K3" s="20">
        <v>80.099999999999994</v>
      </c>
    </row>
    <row r="4" spans="1:18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8" x14ac:dyDescent="0.35">
      <c r="A5" t="s">
        <v>51</v>
      </c>
      <c r="B5" s="7">
        <v>187</v>
      </c>
      <c r="C5" s="7">
        <f>IFERROR(VALUE(LEFT(D5,5)),)</f>
        <v>3300</v>
      </c>
      <c r="D5" s="7" t="s">
        <v>24</v>
      </c>
      <c r="E5" s="7">
        <v>1</v>
      </c>
      <c r="F5" s="14">
        <v>0.04</v>
      </c>
      <c r="G5" s="8">
        <f>(B5*C5*E5* (1+F5))/10000*(1+$F$18)*(1+$F$19)</f>
        <v>64.178399999999996</v>
      </c>
      <c r="H5" s="7">
        <v>103.9</v>
      </c>
      <c r="I5">
        <f>H5/100*C5/11000*B5</f>
        <v>58.287900000000008</v>
      </c>
      <c r="J5" s="19">
        <f>IFERROR(I5/$I$20,)</f>
        <v>0.82684440182482588</v>
      </c>
      <c r="K5" s="15">
        <f>J5*$K$3*(1+$F$18)</f>
        <v>66.230236586168544</v>
      </c>
    </row>
    <row r="6" spans="1:18" x14ac:dyDescent="0.35">
      <c r="A6" t="s">
        <v>52</v>
      </c>
      <c r="B6" s="7">
        <v>8</v>
      </c>
      <c r="C6" s="7">
        <f t="shared" ref="C6:C17" si="0">IFERROR(VALUE(LEFT(D6,5)),)</f>
        <v>1100</v>
      </c>
      <c r="D6" s="7" t="s">
        <v>13</v>
      </c>
      <c r="E6" s="7"/>
      <c r="F6" s="14">
        <v>4.3999999999999997E-2</v>
      </c>
      <c r="G6" s="8">
        <f t="shared" ref="G6:G14" si="1">(B6*C6*E6* (1+F6))/10000*(1+$F$18)*(1+$F$19)</f>
        <v>0</v>
      </c>
      <c r="H6" s="7">
        <v>103.8</v>
      </c>
      <c r="I6">
        <f t="shared" ref="I6:I15" si="2">H6/100*C6/11000*B6</f>
        <v>0.83039999999999992</v>
      </c>
      <c r="J6" s="19">
        <f t="shared" ref="J6:J17" si="3">IFERROR(I6/$I$20,)</f>
        <v>1.1779659093488276E-2</v>
      </c>
      <c r="K6" s="15">
        <f t="shared" ref="K6:K17" si="4">J6*$K$3*(1+$F$18)</f>
        <v>0.9435506933884108</v>
      </c>
    </row>
    <row r="7" spans="1:18" x14ac:dyDescent="0.35">
      <c r="A7" t="s">
        <v>53</v>
      </c>
      <c r="B7" s="7"/>
      <c r="C7" s="7">
        <f t="shared" si="0"/>
        <v>0</v>
      </c>
      <c r="D7" s="7"/>
      <c r="E7" s="7"/>
      <c r="F7" s="14"/>
      <c r="G7" s="8">
        <f t="shared" si="1"/>
        <v>0</v>
      </c>
      <c r="H7" s="7"/>
      <c r="I7">
        <f t="shared" si="2"/>
        <v>0</v>
      </c>
      <c r="J7" s="19">
        <f t="shared" si="3"/>
        <v>0</v>
      </c>
      <c r="K7" s="15">
        <f t="shared" si="4"/>
        <v>0</v>
      </c>
    </row>
    <row r="8" spans="1:18" x14ac:dyDescent="0.35">
      <c r="A8" t="s">
        <v>54</v>
      </c>
      <c r="B8" s="7">
        <v>46</v>
      </c>
      <c r="C8" s="7">
        <f t="shared" si="0"/>
        <v>1100</v>
      </c>
      <c r="D8" s="7" t="s">
        <v>16</v>
      </c>
      <c r="E8" s="7"/>
      <c r="F8" s="14">
        <v>0.11799999999999999</v>
      </c>
      <c r="G8" s="8">
        <f t="shared" si="1"/>
        <v>0</v>
      </c>
      <c r="H8" s="7">
        <v>117</v>
      </c>
      <c r="I8">
        <f t="shared" si="2"/>
        <v>5.3820000000000006</v>
      </c>
      <c r="J8" s="19">
        <f t="shared" si="3"/>
        <v>7.6346489933952211E-2</v>
      </c>
      <c r="K8" s="15">
        <f t="shared" si="4"/>
        <v>6.1153538437095714</v>
      </c>
    </row>
    <row r="9" spans="1:18" x14ac:dyDescent="0.35">
      <c r="A9" t="s">
        <v>55</v>
      </c>
      <c r="B9" s="7"/>
      <c r="C9" s="7">
        <f t="shared" si="0"/>
        <v>0</v>
      </c>
      <c r="D9" s="7"/>
      <c r="E9" s="7"/>
      <c r="F9" s="14"/>
      <c r="G9" s="8">
        <f t="shared" si="1"/>
        <v>0</v>
      </c>
      <c r="H9" s="7"/>
      <c r="I9">
        <f t="shared" si="2"/>
        <v>0</v>
      </c>
      <c r="J9" s="19">
        <f t="shared" si="3"/>
        <v>0</v>
      </c>
      <c r="K9" s="15">
        <f t="shared" si="4"/>
        <v>0</v>
      </c>
    </row>
    <row r="10" spans="1:18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>
        <f t="shared" si="1"/>
        <v>0</v>
      </c>
      <c r="H10" s="7"/>
      <c r="I10">
        <f t="shared" si="2"/>
        <v>0</v>
      </c>
      <c r="J10" s="19">
        <f t="shared" si="3"/>
        <v>0</v>
      </c>
      <c r="K10" s="15">
        <f t="shared" si="4"/>
        <v>0</v>
      </c>
    </row>
    <row r="11" spans="1:18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>
        <f t="shared" si="1"/>
        <v>0</v>
      </c>
      <c r="H11" s="7"/>
      <c r="I11">
        <f t="shared" si="2"/>
        <v>0</v>
      </c>
      <c r="J11" s="19">
        <f t="shared" si="3"/>
        <v>0</v>
      </c>
      <c r="K11" s="15">
        <f t="shared" si="4"/>
        <v>0</v>
      </c>
    </row>
    <row r="12" spans="1:18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>
        <f t="shared" si="1"/>
        <v>0</v>
      </c>
      <c r="H12" s="7"/>
      <c r="I12">
        <f t="shared" si="2"/>
        <v>0</v>
      </c>
      <c r="J12" s="19">
        <f t="shared" si="3"/>
        <v>0</v>
      </c>
      <c r="K12" s="15">
        <f t="shared" si="4"/>
        <v>0</v>
      </c>
      <c r="R12" t="s">
        <v>73</v>
      </c>
    </row>
    <row r="13" spans="1:18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>
        <f t="shared" si="1"/>
        <v>0</v>
      </c>
      <c r="H13" s="7"/>
      <c r="I13">
        <f t="shared" si="2"/>
        <v>0</v>
      </c>
      <c r="J13" s="19">
        <f t="shared" si="3"/>
        <v>0</v>
      </c>
      <c r="K13" s="15">
        <f t="shared" si="4"/>
        <v>0</v>
      </c>
    </row>
    <row r="14" spans="1:18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>
        <f t="shared" si="1"/>
        <v>0</v>
      </c>
      <c r="H14" s="7"/>
      <c r="I14">
        <f t="shared" si="2"/>
        <v>0</v>
      </c>
      <c r="J14" s="19">
        <f t="shared" si="3"/>
        <v>0</v>
      </c>
      <c r="K14" s="15">
        <f t="shared" si="4"/>
        <v>0</v>
      </c>
    </row>
    <row r="15" spans="1:18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>
        <f>B15*C15*E15*(1+F15)/10000*(1+$F$18)*(1+$F$19)</f>
        <v>5.5E-2</v>
      </c>
      <c r="H15" s="7">
        <v>403.8</v>
      </c>
      <c r="I15">
        <f t="shared" si="2"/>
        <v>0.2019</v>
      </c>
      <c r="J15" s="19">
        <f t="shared" si="3"/>
        <v>2.864057286819946E-3</v>
      </c>
      <c r="K15" s="15">
        <f t="shared" si="4"/>
        <v>0.22941098867427764</v>
      </c>
    </row>
    <row r="16" spans="1:18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>
        <f>(C16*E16*B16*$D$2/1000*$D$3)/10000*(1+$F$18)*(1+$F$19)</f>
        <v>6.1710000000000003</v>
      </c>
      <c r="H16" s="7">
        <v>5792.2</v>
      </c>
      <c r="I16">
        <f>H16/100*C16/11000*B16/2</f>
        <v>5.7921999999999993</v>
      </c>
      <c r="J16" s="19">
        <f t="shared" si="3"/>
        <v>8.2165391860913761E-2</v>
      </c>
      <c r="K16" s="15">
        <f t="shared" si="4"/>
        <v>6.5814478880591922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3"/>
        <v>0</v>
      </c>
      <c r="K17" s="15">
        <f t="shared" si="4"/>
        <v>0</v>
      </c>
    </row>
    <row r="18" spans="1:13" x14ac:dyDescent="0.35">
      <c r="B18">
        <f>SUM(B5:B17)-1</f>
        <v>243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>
        <v>0</v>
      </c>
      <c r="G19" s="8"/>
      <c r="I19" s="15"/>
      <c r="J19" s="15"/>
    </row>
    <row r="20" spans="1:13" x14ac:dyDescent="0.35">
      <c r="D20" s="16" t="s">
        <v>61</v>
      </c>
      <c r="G20" s="18">
        <f>SUM(G5:G17)</f>
        <v>70.40440000000001</v>
      </c>
      <c r="I20" s="18">
        <f>SUM(I5:I17)</f>
        <v>70.494399999999999</v>
      </c>
      <c r="J20" s="15"/>
      <c r="K20" s="18">
        <f>SUM(K5:K17)</f>
        <v>80.099999999999994</v>
      </c>
      <c r="M20" t="s">
        <v>69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5">_xlfn.UNIQUE(_xlfn._xlws.FILTER(D5:D15,D5:D15&lt;&gt;""))</f>
        <v>03300-PES-WEISS</v>
      </c>
      <c r="K22" s="28">
        <f>SUMIF($D$5:$D$17,D22,$K$5:$K$17)</f>
        <v>66.230236586168544</v>
      </c>
      <c r="M22" s="32">
        <f>SUMIF($D$5:$D$15,D22,$B$5:$B$15)</f>
        <v>187</v>
      </c>
    </row>
    <row r="23" spans="1:13" x14ac:dyDescent="0.35">
      <c r="D23" t="str">
        <v>01100-PES-ORANGE</v>
      </c>
      <c r="K23" s="28">
        <f t="shared" ref="K23:K29" si="5">SUMIF($D$5:$D$17,D23,$K$5:$K$17)</f>
        <v>0.9435506933884108</v>
      </c>
      <c r="M23" s="32">
        <f>SUMIF($D$5:$D$15,D23,$B$5:$B$15)</f>
        <v>8</v>
      </c>
    </row>
    <row r="24" spans="1:13" x14ac:dyDescent="0.35">
      <c r="D24" t="str">
        <v>01100-PES-WEISS</v>
      </c>
      <c r="K24" s="28">
        <f t="shared" si="5"/>
        <v>12.696801731768764</v>
      </c>
      <c r="M24" s="32">
        <f>SUMIF($D$5:$D$15,D24,$B$5:$B$15)</f>
        <v>46</v>
      </c>
    </row>
    <row r="25" spans="1:13" x14ac:dyDescent="0.35">
      <c r="D25" t="str">
        <v>00550-PES-WEISS</v>
      </c>
      <c r="K25" s="28">
        <f t="shared" si="5"/>
        <v>0.22941098867427764</v>
      </c>
      <c r="M25" s="32">
        <f>SUMIF($D$5:$D$15,D25,$B$5:$B$15)</f>
        <v>1</v>
      </c>
    </row>
    <row r="26" spans="1:13" x14ac:dyDescent="0.35">
      <c r="K26" s="28">
        <f t="shared" si="5"/>
        <v>0</v>
      </c>
      <c r="M26" s="32">
        <f>SUMIF($D$5:$D$15,D26,$B$5:$B$15)</f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6.5814478880591922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66.230236586168544</v>
      </c>
    </row>
  </sheetData>
  <sortState xmlns:xlrd2="http://schemas.microsoft.com/office/spreadsheetml/2017/richdata2" ref="D31:D32">
    <sortCondition descending="1" ref="D30:D32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60F977-2DE1-4CC5-A55D-097C8DFA8D38}">
          <x14:formula1>
            <xm:f>#REF!</xm:f>
          </x14:formula1>
          <xm:sqref>D5:D17 D29:D30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F7015-B364-453E-83E5-61B7F43220EF}">
  <sheetPr codeName="Sheet32"/>
  <dimension ref="A1:M31"/>
  <sheetViews>
    <sheetView topLeftCell="A25" workbookViewId="0">
      <selection activeCell="A31" sqref="A3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3.179687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6624102-093-00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109</v>
      </c>
      <c r="G2" s="8"/>
      <c r="K2" s="21" t="s">
        <v>38</v>
      </c>
    </row>
    <row r="3" spans="1:13" x14ac:dyDescent="0.35">
      <c r="A3" t="s">
        <v>39</v>
      </c>
      <c r="D3" s="4">
        <v>510</v>
      </c>
      <c r="G3" s="5" t="s">
        <v>40</v>
      </c>
      <c r="K3" s="20">
        <v>152.30000000000001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372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3.5000000000000003E-2</v>
      </c>
      <c r="G5" s="8">
        <f>(B5*C5*E5* (1+F5))/10000*(1+$F$18)*(1+$F$19)</f>
        <v>127.0566</v>
      </c>
      <c r="H5" s="7">
        <v>103.9</v>
      </c>
      <c r="I5">
        <f>H5/100*C5/11000*B5</f>
        <v>115.95240000000001</v>
      </c>
      <c r="J5" s="19">
        <f t="shared" ref="J5:J17" si="1">IFERROR(I5/$I$20,)</f>
        <v>0.85699588325289533</v>
      </c>
      <c r="K5" s="15">
        <f>J5*$K$3*(1+$F$18)</f>
        <v>130.52047301941596</v>
      </c>
    </row>
    <row r="6" spans="1:13" x14ac:dyDescent="0.35">
      <c r="A6" t="s">
        <v>52</v>
      </c>
      <c r="B6" s="7">
        <v>8</v>
      </c>
      <c r="C6" s="7">
        <f t="shared" si="0"/>
        <v>1100</v>
      </c>
      <c r="D6" s="7" t="s">
        <v>13</v>
      </c>
      <c r="E6" s="7"/>
      <c r="F6" s="14">
        <v>3.5000000000000003E-2</v>
      </c>
      <c r="G6" s="8">
        <f t="shared" ref="G6:G14" si="2">(B6*C6*E6* (1+F6))/10000*(1+$F$18)*(1+$F$19)</f>
        <v>0</v>
      </c>
      <c r="H6" s="7">
        <v>103.8</v>
      </c>
      <c r="I6">
        <f t="shared" ref="I6:I15" si="3">H6/100*C6/11000*B6</f>
        <v>0.83039999999999992</v>
      </c>
      <c r="J6" s="19">
        <f t="shared" si="1"/>
        <v>6.1374269221956953E-3</v>
      </c>
      <c r="K6" s="15">
        <f t="shared" ref="K6:K17" si="4">J6*$K$3*(1+$F$18)</f>
        <v>0.93473012025040447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>
        <f t="shared" si="2"/>
        <v>0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62</v>
      </c>
      <c r="C8" s="7">
        <f t="shared" si="0"/>
        <v>1100</v>
      </c>
      <c r="D8" s="7" t="s">
        <v>16</v>
      </c>
      <c r="E8" s="7"/>
      <c r="F8" s="14">
        <v>0.106</v>
      </c>
      <c r="G8" s="8">
        <f t="shared" si="2"/>
        <v>0</v>
      </c>
      <c r="H8" s="7">
        <v>112.6</v>
      </c>
      <c r="I8">
        <f t="shared" si="3"/>
        <v>6.9811999999999994</v>
      </c>
      <c r="J8" s="19">
        <f t="shared" si="1"/>
        <v>5.1597549168151E-2</v>
      </c>
      <c r="K8" s="15">
        <f t="shared" si="4"/>
        <v>7.8583067383093974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>
        <f t="shared" si="2"/>
        <v>0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>
        <f t="shared" si="2"/>
        <v>0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>
        <f t="shared" si="2"/>
        <v>0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>
        <f t="shared" si="2"/>
        <v>0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>
        <f t="shared" si="2"/>
        <v>0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>
        <f t="shared" si="2"/>
        <v>0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>
        <f>B15*C15*E15*(1+F15)/10000*(1+$F$18)*(1+$F$19)</f>
        <v>5.5E-2</v>
      </c>
      <c r="H15" s="7">
        <v>404.4</v>
      </c>
      <c r="I15">
        <f t="shared" si="3"/>
        <v>0.20219999999999999</v>
      </c>
      <c r="J15" s="19">
        <f t="shared" si="1"/>
        <v>1.494445717326553E-3</v>
      </c>
      <c r="K15" s="15">
        <f t="shared" si="4"/>
        <v>0.22760408274883404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>
        <f>(C16*E16*B16*$D$2/1000*$D$3)/10000*(1+$F$18)*(1+$F$19)</f>
        <v>12.229799999999999</v>
      </c>
      <c r="H16" s="7">
        <v>11334.8</v>
      </c>
      <c r="I16">
        <f>H16/100*C16/11000*B16/2</f>
        <v>11.3348</v>
      </c>
      <c r="J16" s="19">
        <f t="shared" si="1"/>
        <v>8.3774694939431335E-2</v>
      </c>
      <c r="K16" s="15">
        <f t="shared" si="4"/>
        <v>12.758886039275394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444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>
        <v>0</v>
      </c>
      <c r="G19" s="8"/>
      <c r="I19" s="15"/>
      <c r="J19" s="15"/>
    </row>
    <row r="20" spans="1:13" x14ac:dyDescent="0.35">
      <c r="D20" s="16" t="s">
        <v>61</v>
      </c>
      <c r="G20" s="18">
        <f>SUM(G5:G17)</f>
        <v>139.34140000000002</v>
      </c>
      <c r="I20" s="18">
        <f>SUM(I5:I17)</f>
        <v>135.30100000000002</v>
      </c>
      <c r="J20" s="15"/>
      <c r="K20" s="18">
        <f>SUM(K5:K17)</f>
        <v>152.29999999999998</v>
      </c>
    </row>
    <row r="21" spans="1:13" x14ac:dyDescent="0.35">
      <c r="G21" s="9"/>
      <c r="M21" t="s">
        <v>69</v>
      </c>
    </row>
    <row r="22" spans="1:13" x14ac:dyDescent="0.35">
      <c r="A22" t="s">
        <v>66</v>
      </c>
      <c r="D22" t="str" cm="1">
        <f t="array" ref="D22:D25">_xlfn.UNIQUE(_xlfn._xlws.FILTER(D5:D15,D5:D15&lt;&gt;""))</f>
        <v>03300-PES-WEISS</v>
      </c>
      <c r="K22" s="28">
        <f t="shared" ref="K22:K29" si="5">SUMIF($D$5:$D$17,D22,$K$5:$K$17)</f>
        <v>130.52047301941596</v>
      </c>
      <c r="M22" s="32">
        <f>SUMIF($D$5:$D$15,D22,$B$5:$B$15)</f>
        <v>372</v>
      </c>
    </row>
    <row r="23" spans="1:13" x14ac:dyDescent="0.35">
      <c r="D23" t="str">
        <v>01100-PES-ORANGE</v>
      </c>
      <c r="K23" s="28">
        <f t="shared" si="5"/>
        <v>0.93473012025040447</v>
      </c>
      <c r="M23" s="32">
        <f>SUMIF($D$5:$D$15,D23,$B$5:$B$15)</f>
        <v>8</v>
      </c>
    </row>
    <row r="24" spans="1:13" x14ac:dyDescent="0.35">
      <c r="D24" t="str">
        <v>01100-PES-WEISS</v>
      </c>
      <c r="K24" s="28">
        <f t="shared" si="5"/>
        <v>20.617192777584791</v>
      </c>
      <c r="M24" s="32">
        <f>SUMIF($D$5:$D$15,D24,$B$5:$B$15)</f>
        <v>62</v>
      </c>
    </row>
    <row r="25" spans="1:13" x14ac:dyDescent="0.35">
      <c r="D25" t="str">
        <v>00550-PES-WEISS</v>
      </c>
      <c r="K25" s="28">
        <f t="shared" si="5"/>
        <v>0.22760408274883404</v>
      </c>
      <c r="M25" s="32">
        <f>SUMIF($D$5:$D$15,D25,$B$5:$B$15)</f>
        <v>1</v>
      </c>
    </row>
    <row r="26" spans="1:13" x14ac:dyDescent="0.35">
      <c r="K26" s="28">
        <f t="shared" si="5"/>
        <v>0</v>
      </c>
      <c r="M26" s="32">
        <f>SUMIF($D$5:$D$15,D26,$B$5:$B$15)</f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12.758886039275394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130.52047301941596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12A37C-8ABB-472A-9C95-99B301CFBDDE}">
          <x14:formula1>
            <xm:f>#REF!</xm:f>
          </x14:formula1>
          <xm:sqref>D5:D17 D29:D30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F6D3-224E-4A7C-97C5-BCB5E314279E}">
  <sheetPr codeName="Sheet17"/>
  <dimension ref="A1:M32"/>
  <sheetViews>
    <sheetView workbookViewId="0">
      <selection activeCell="K32" sqref="K32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3.4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7494038-000-00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58</v>
      </c>
      <c r="G2" s="8"/>
      <c r="K2" s="21" t="s">
        <v>38</v>
      </c>
    </row>
    <row r="3" spans="1:13" x14ac:dyDescent="0.35">
      <c r="A3" t="s">
        <v>39</v>
      </c>
      <c r="D3" s="4">
        <v>1870</v>
      </c>
      <c r="G3" s="5" t="s">
        <v>40</v>
      </c>
      <c r="K3" s="20">
        <v>72.5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112</v>
      </c>
      <c r="C5" s="7">
        <f t="shared" ref="C5:C17" si="0">IFERROR(VALUE(LEFT(D5,5)),)</f>
        <v>2200</v>
      </c>
      <c r="D5" s="7" t="s">
        <v>22</v>
      </c>
      <c r="E5" s="7">
        <v>1</v>
      </c>
      <c r="F5" s="14">
        <v>2.1000000000000001E-2</v>
      </c>
      <c r="G5" s="8">
        <f>(B5*C5*E5* (1+F5))/10000*(1+$F$18)*(1+$F$19)</f>
        <v>25.157439999999998</v>
      </c>
      <c r="H5" s="7">
        <v>102.4</v>
      </c>
      <c r="I5">
        <f>H5/100*C5/11000*B5</f>
        <v>22.9376</v>
      </c>
      <c r="J5" s="19">
        <f t="shared" ref="J5:J17" si="1">IFERROR(I5/$I$20,)</f>
        <v>0.35703550058992584</v>
      </c>
      <c r="K5" s="15">
        <f>J5*$K$3*(1+$F$18)</f>
        <v>25.885073792769624</v>
      </c>
    </row>
    <row r="6" spans="1:13" x14ac:dyDescent="0.35">
      <c r="A6" t="s">
        <v>55</v>
      </c>
      <c r="B6" s="7">
        <v>104</v>
      </c>
      <c r="C6" s="7">
        <f t="shared" si="0"/>
        <v>1100</v>
      </c>
      <c r="D6" s="7" t="s">
        <v>16</v>
      </c>
      <c r="E6" s="7">
        <v>1</v>
      </c>
      <c r="F6" s="14">
        <v>2.3E-2</v>
      </c>
      <c r="G6" s="8">
        <f t="shared" ref="G6:G14" si="2">(B6*C6*E6* (1+F6))/10000*(1+$F$18)*(1+$F$19)</f>
        <v>11.703119999999998</v>
      </c>
      <c r="H6" s="7">
        <v>103.4</v>
      </c>
      <c r="I6">
        <f t="shared" ref="I6:I15" si="3">H6/100*C6/11000*B6</f>
        <v>10.7536</v>
      </c>
      <c r="J6" s="19">
        <f t="shared" si="1"/>
        <v>0.16738529572160238</v>
      </c>
      <c r="K6" s="15">
        <f t="shared" ref="K6:K17" si="4">J6*$K$3*(1+$F$18)</f>
        <v>12.135433939816172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>
        <f t="shared" si="2"/>
        <v>0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>
        <f t="shared" si="2"/>
        <v>0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>
        <f t="shared" si="2"/>
        <v>0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>
        <f t="shared" si="2"/>
        <v>0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>
        <f t="shared" si="2"/>
        <v>0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>
        <f t="shared" si="2"/>
        <v>0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>
        <f t="shared" si="2"/>
        <v>0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>
        <f t="shared" si="2"/>
        <v>0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>
        <f>B15*C15*E15*(1+F15)/10000*(1+$F$18)*(1+$F$19)</f>
        <v>5.5E-2</v>
      </c>
      <c r="H15" s="7">
        <v>1110.0999999999999</v>
      </c>
      <c r="I15">
        <f t="shared" si="3"/>
        <v>0.55504999999999993</v>
      </c>
      <c r="J15" s="19">
        <f t="shared" si="1"/>
        <v>8.6396377390153423E-3</v>
      </c>
      <c r="K15" s="15">
        <f t="shared" si="4"/>
        <v>0.62637373607861235</v>
      </c>
    </row>
    <row r="16" spans="1:13" x14ac:dyDescent="0.35">
      <c r="A16" t="s">
        <v>59</v>
      </c>
      <c r="B16" s="7">
        <v>2</v>
      </c>
      <c r="C16" s="7">
        <f t="shared" si="0"/>
        <v>1440</v>
      </c>
      <c r="D16" s="12" t="s">
        <v>18</v>
      </c>
      <c r="E16" s="7">
        <v>1</v>
      </c>
      <c r="F16" s="14"/>
      <c r="G16" s="8">
        <f>(C16*E16*B16*$D$2/1000*$D$3)/10000*(1+$F$18)*(1+$F$19)</f>
        <v>31.23648</v>
      </c>
      <c r="H16" s="7">
        <v>22915.4</v>
      </c>
      <c r="I16">
        <f>H16/100*C16/11000*B16/2</f>
        <v>29.998341818181817</v>
      </c>
      <c r="J16" s="19">
        <f t="shared" si="1"/>
        <v>0.4669395659494564</v>
      </c>
      <c r="K16" s="15">
        <f t="shared" si="4"/>
        <v>33.853118531335589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218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>
        <v>0</v>
      </c>
      <c r="G19" s="8"/>
      <c r="I19" s="15"/>
      <c r="J19" s="15"/>
    </row>
    <row r="20" spans="1:13" x14ac:dyDescent="0.35">
      <c r="D20" s="16" t="s">
        <v>61</v>
      </c>
      <c r="G20" s="18">
        <f>SUM(G5:G17)</f>
        <v>68.15204</v>
      </c>
      <c r="I20" s="18">
        <f>SUM(I5:I17)</f>
        <v>64.244591818181817</v>
      </c>
      <c r="J20" s="15"/>
      <c r="K20" s="18">
        <f>SUM(K5:K17)</f>
        <v>72.5</v>
      </c>
      <c r="M20" t="s">
        <v>69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4">_xlfn.UNIQUE(_xlfn._xlws.FILTER(D5:D15,D5:D15&lt;&gt;""))</f>
        <v>02200-PES-WEISS</v>
      </c>
      <c r="K22" s="28">
        <f t="shared" ref="K22:K29" si="5">SUMIF($D$5:$D$17,D22,$K$5:$K$17)</f>
        <v>25.885073792769624</v>
      </c>
      <c r="M22" s="32">
        <f>SUMIF($D$5:$D$15,D22,$B$5:$B$15)</f>
        <v>112</v>
      </c>
    </row>
    <row r="23" spans="1:13" x14ac:dyDescent="0.35">
      <c r="D23" t="str">
        <v>01100-PES-WEISS</v>
      </c>
      <c r="K23" s="28">
        <f t="shared" si="5"/>
        <v>12.135433939816172</v>
      </c>
      <c r="M23" s="32">
        <f>SUMIF($D$5:$D$15,D23,$B$5:$B$15)</f>
        <v>104</v>
      </c>
    </row>
    <row r="24" spans="1:13" x14ac:dyDescent="0.35">
      <c r="D24" t="str">
        <v>00550-PES-WEISS</v>
      </c>
      <c r="K24" s="28">
        <f t="shared" si="5"/>
        <v>0.62637373607861235</v>
      </c>
      <c r="M24" s="32">
        <f>SUMIF($D$5:$D$15,D24,$B$5:$B$15)</f>
        <v>1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18</v>
      </c>
      <c r="K30" s="15">
        <f>K16+K17</f>
        <v>33.853118531335589</v>
      </c>
      <c r="M30">
        <v>1</v>
      </c>
    </row>
    <row r="31" spans="1:13" x14ac:dyDescent="0.35">
      <c r="A31" t="s">
        <v>64</v>
      </c>
      <c r="D31" t="s">
        <v>22</v>
      </c>
      <c r="K31">
        <f>SUMIF(D5:D13,D31,K5:K13)</f>
        <v>25.885073792769624</v>
      </c>
    </row>
    <row r="32" spans="1:13" x14ac:dyDescent="0.35">
      <c r="A32" t="s">
        <v>65</v>
      </c>
      <c r="D32" t="s">
        <v>16</v>
      </c>
      <c r="K32" s="15">
        <f>K6</f>
        <v>12.135433939816172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745BA7-C58D-4892-A40E-7FBDA9C7EFC0}">
          <x14:formula1>
            <xm:f>#REF!</xm:f>
          </x14:formula1>
          <xm:sqref>D5:D17 D29:D30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FA739-6CC1-424D-BAF4-E6C8F18978AE}">
  <sheetPr codeName="Sheet18"/>
  <dimension ref="A1:M32"/>
  <sheetViews>
    <sheetView topLeftCell="A24" workbookViewId="0">
      <selection activeCell="K30" sqref="K30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5.4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7494044-000-00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65</v>
      </c>
      <c r="G2" s="8"/>
      <c r="K2" s="21" t="s">
        <v>38</v>
      </c>
    </row>
    <row r="3" spans="1:13" x14ac:dyDescent="0.35">
      <c r="A3" t="s">
        <v>39</v>
      </c>
      <c r="D3" s="4">
        <v>1870</v>
      </c>
      <c r="G3" s="5" t="s">
        <v>40</v>
      </c>
      <c r="K3" s="20">
        <v>82.7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132</v>
      </c>
      <c r="C5" s="7">
        <f t="shared" ref="C5:C17" si="0">IFERROR(VALUE(LEFT(D5,5)),)</f>
        <v>2200</v>
      </c>
      <c r="D5" s="7" t="s">
        <v>22</v>
      </c>
      <c r="E5" s="7">
        <v>1</v>
      </c>
      <c r="F5" s="14">
        <v>2.1000000000000001E-2</v>
      </c>
      <c r="G5" s="8">
        <f>(B5*C5*E5* (1+F5))/10000*(1+$F$18)*(1+$F$19)</f>
        <v>29.649839999999998</v>
      </c>
      <c r="H5" s="7">
        <v>103.4</v>
      </c>
      <c r="I5">
        <f>H5/100*C5/11000*B5</f>
        <v>27.297600000000003</v>
      </c>
      <c r="J5" s="19">
        <f t="shared" ref="J5:J17" si="1">IFERROR(I5/$I$20,)</f>
        <v>0.37042914640291663</v>
      </c>
      <c r="K5" s="15">
        <f>J5*$K$3*(1+$F$18)</f>
        <v>30.634490407521206</v>
      </c>
    </row>
    <row r="6" spans="1:13" x14ac:dyDescent="0.35">
      <c r="A6" t="s">
        <v>55</v>
      </c>
      <c r="B6" s="7">
        <v>124</v>
      </c>
      <c r="C6" s="7">
        <f t="shared" si="0"/>
        <v>1100</v>
      </c>
      <c r="D6" s="7" t="s">
        <v>16</v>
      </c>
      <c r="E6" s="7">
        <v>1</v>
      </c>
      <c r="F6" s="14">
        <v>2.3E-2</v>
      </c>
      <c r="G6" s="8">
        <f t="shared" ref="G6:G14" si="2">(B6*C6*E6* (1+F6))/10000*(1+$F$18)*(1+$F$19)</f>
        <v>13.953719999999999</v>
      </c>
      <c r="H6" s="7">
        <v>103.4</v>
      </c>
      <c r="I6">
        <f t="shared" ref="I6:I15" si="3">H6/100*C6/11000*B6</f>
        <v>12.8216</v>
      </c>
      <c r="J6" s="19">
        <f t="shared" si="1"/>
        <v>0.17398944755288509</v>
      </c>
      <c r="K6" s="15">
        <f t="shared" ref="K6:K17" si="4">J6*$K$3*(1+$F$18)</f>
        <v>14.388927312623597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>
        <f t="shared" si="2"/>
        <v>0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>
        <f t="shared" si="2"/>
        <v>0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B9" s="7"/>
      <c r="C9" s="7">
        <f t="shared" si="0"/>
        <v>0</v>
      </c>
      <c r="D9" s="7"/>
      <c r="E9" s="7"/>
      <c r="F9" s="14"/>
      <c r="G9" s="8">
        <f t="shared" si="2"/>
        <v>0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>
        <f t="shared" si="2"/>
        <v>0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>
        <f t="shared" si="2"/>
        <v>0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>
        <f t="shared" si="2"/>
        <v>0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>
        <f t="shared" si="2"/>
        <v>0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>
        <f t="shared" si="2"/>
        <v>0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>
        <f>B15*C15*E15*(1+F15)/10000*(1+$F$18)*(1+$F$19)</f>
        <v>5.5E-2</v>
      </c>
      <c r="H15" s="7">
        <v>1304</v>
      </c>
      <c r="I15">
        <f t="shared" si="3"/>
        <v>0.65199999999999991</v>
      </c>
      <c r="J15" s="19">
        <f t="shared" si="1"/>
        <v>8.8476570634305439E-3</v>
      </c>
      <c r="K15" s="15">
        <f t="shared" si="4"/>
        <v>0.73170123914570595</v>
      </c>
    </row>
    <row r="16" spans="1:13" x14ac:dyDescent="0.35">
      <c r="A16" t="s">
        <v>59</v>
      </c>
      <c r="B16" s="7">
        <v>2</v>
      </c>
      <c r="C16" s="7">
        <f t="shared" si="0"/>
        <v>1440</v>
      </c>
      <c r="D16" s="12" t="s">
        <v>18</v>
      </c>
      <c r="E16" s="7">
        <v>1</v>
      </c>
      <c r="F16" s="14"/>
      <c r="G16" s="8">
        <f>(C16*E16*B16*$D$2/1000*$D$3)/10000*(1+$F$18)*(1+$F$19)</f>
        <v>35.006399999999999</v>
      </c>
      <c r="H16" s="7">
        <v>25147.7</v>
      </c>
      <c r="I16">
        <f>H16/100*C16/11000*B16/2</f>
        <v>32.920625454545458</v>
      </c>
      <c r="J16" s="19">
        <f t="shared" si="1"/>
        <v>0.44673374898076768</v>
      </c>
      <c r="K16" s="15">
        <f t="shared" si="4"/>
        <v>36.94488104070949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258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>
        <v>0</v>
      </c>
      <c r="G19" s="8"/>
      <c r="I19" s="15"/>
      <c r="J19" s="15"/>
    </row>
    <row r="20" spans="1:13" x14ac:dyDescent="0.35">
      <c r="D20" s="16" t="s">
        <v>61</v>
      </c>
      <c r="G20" s="18">
        <f>SUM(G5:G17)</f>
        <v>78.664959999999994</v>
      </c>
      <c r="I20" s="18">
        <f>SUM(I5:I17)</f>
        <v>73.691825454545466</v>
      </c>
      <c r="J20" s="15"/>
      <c r="K20" s="18">
        <f>SUM(K5:K17)</f>
        <v>82.7</v>
      </c>
      <c r="M20" t="s">
        <v>69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4">_xlfn.UNIQUE(_xlfn._xlws.FILTER(D5:D15,D5:D15&lt;&gt;""))</f>
        <v>02200-PES-WEISS</v>
      </c>
      <c r="K22" s="28">
        <f t="shared" ref="K22:K29" si="5">SUMIF($D$5:$D$17,D22,$K$5:$K$17)</f>
        <v>30.634490407521206</v>
      </c>
      <c r="M22" s="32">
        <f>SUMIF($D$5:$D$15,D22,$B$5:$B$15)</f>
        <v>132</v>
      </c>
    </row>
    <row r="23" spans="1:13" x14ac:dyDescent="0.35">
      <c r="D23" t="str">
        <v>01100-PES-WEISS</v>
      </c>
      <c r="K23" s="28">
        <f t="shared" si="5"/>
        <v>14.388927312623597</v>
      </c>
      <c r="M23" s="32">
        <f>SUMIF($D$5:$D$15,D23,$B$5:$B$15)</f>
        <v>124</v>
      </c>
    </row>
    <row r="24" spans="1:13" x14ac:dyDescent="0.35">
      <c r="D24" t="str">
        <v>00550-PES-WEISS</v>
      </c>
      <c r="K24" s="28">
        <f t="shared" si="5"/>
        <v>0.73170123914570595</v>
      </c>
      <c r="M24" s="32">
        <f>SUMIF($D$5:$D$15,D24,$B$5:$B$15)</f>
        <v>1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18</v>
      </c>
      <c r="K30" s="15">
        <f>K16+K17</f>
        <v>36.94488104070949</v>
      </c>
      <c r="M30">
        <v>1</v>
      </c>
    </row>
    <row r="31" spans="1:13" x14ac:dyDescent="0.35">
      <c r="A31" t="s">
        <v>64</v>
      </c>
      <c r="D31" t="s">
        <v>22</v>
      </c>
      <c r="K31">
        <f>SUMIF(D5:D13,D31,K5:K13)</f>
        <v>30.634490407521206</v>
      </c>
    </row>
    <row r="32" spans="1:13" x14ac:dyDescent="0.35">
      <c r="A32" t="s">
        <v>65</v>
      </c>
      <c r="D32" t="s">
        <v>16</v>
      </c>
      <c r="K32" s="15">
        <f>K6</f>
        <v>14.388927312623597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459F86-3404-4108-A073-2B6371BF516C}">
          <x14:formula1>
            <xm:f>#REF!</xm:f>
          </x14:formula1>
          <xm:sqref>D5:D17 D29:D30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872D2-754B-4FD9-9196-2F00B0DF3948}">
  <sheetPr codeName="Sheet19"/>
  <dimension ref="A1:M32"/>
  <sheetViews>
    <sheetView topLeftCell="F26" workbookViewId="0">
      <selection activeCell="L32" sqref="L32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5.269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7494057-000-00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82.5</v>
      </c>
      <c r="G2" s="8"/>
      <c r="K2" s="21" t="s">
        <v>38</v>
      </c>
    </row>
    <row r="3" spans="1:13" x14ac:dyDescent="0.35">
      <c r="A3" t="s">
        <v>39</v>
      </c>
      <c r="D3" s="4">
        <v>1870</v>
      </c>
      <c r="G3" s="5" t="s">
        <v>40</v>
      </c>
      <c r="K3" s="20">
        <v>105.3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168</v>
      </c>
      <c r="C5" s="7">
        <f t="shared" ref="C5:C17" si="0">IFERROR(VALUE(LEFT(D5,5)),)</f>
        <v>2200</v>
      </c>
      <c r="D5" s="7" t="s">
        <v>22</v>
      </c>
      <c r="E5" s="7">
        <v>1</v>
      </c>
      <c r="F5" s="14">
        <v>2.4E-2</v>
      </c>
      <c r="G5" s="8" t="e">
        <f ca="1">(B5*C5*E5* (1+F5))/10000*(1+$F$18)*(1+$F$19)</f>
        <v>#REF!</v>
      </c>
      <c r="H5" s="7">
        <v>103.5</v>
      </c>
      <c r="I5">
        <f>H5/100*C5/11000*B5</f>
        <v>34.775999999999996</v>
      </c>
      <c r="J5" s="19">
        <f t="shared" ref="J5:J17" si="1">IFERROR(I5/$I$20,)</f>
        <v>0.37203423256453749</v>
      </c>
      <c r="K5" s="15">
        <f>J5*$K$3*(1+$F$18)</f>
        <v>39.175204689045799</v>
      </c>
    </row>
    <row r="6" spans="1:13" x14ac:dyDescent="0.35">
      <c r="A6" t="s">
        <v>55</v>
      </c>
      <c r="B6" s="7">
        <v>160</v>
      </c>
      <c r="C6" s="7">
        <f t="shared" si="0"/>
        <v>1100</v>
      </c>
      <c r="D6" s="7" t="s">
        <v>16</v>
      </c>
      <c r="E6" s="7">
        <v>1</v>
      </c>
      <c r="F6" s="14">
        <v>2.5999999999999999E-2</v>
      </c>
      <c r="G6" s="8" t="e">
        <f t="shared" ref="G6:G14" ca="1" si="2">(B6*C6*E6* (1+F6))/10000*(1+$F$18)*(1+$F$19)</f>
        <v>#REF!</v>
      </c>
      <c r="H6" s="7">
        <v>102.9</v>
      </c>
      <c r="I6">
        <f t="shared" ref="I6:I15" si="3">H6/100*C6/11000*B6</f>
        <v>16.464000000000002</v>
      </c>
      <c r="J6" s="19">
        <f t="shared" si="1"/>
        <v>0.17613214875036079</v>
      </c>
      <c r="K6" s="15">
        <f t="shared" ref="K6:K17" si="4">J6*$K$3*(1+$F$18)</f>
        <v>18.546715263412992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1181.2</v>
      </c>
      <c r="I15">
        <f t="shared" si="3"/>
        <v>0.59060000000000001</v>
      </c>
      <c r="J15" s="19">
        <f t="shared" si="1"/>
        <v>6.3182487276459585E-3</v>
      </c>
      <c r="K15" s="15">
        <f t="shared" si="4"/>
        <v>0.66531159102111936</v>
      </c>
    </row>
    <row r="16" spans="1:13" x14ac:dyDescent="0.35">
      <c r="A16" t="s">
        <v>59</v>
      </c>
      <c r="B16" s="7">
        <v>2</v>
      </c>
      <c r="C16" s="7">
        <f t="shared" si="0"/>
        <v>1440</v>
      </c>
      <c r="D16" s="12" t="s">
        <v>18</v>
      </c>
      <c r="E16" s="7">
        <v>1</v>
      </c>
      <c r="F16" s="14"/>
      <c r="G16" s="8" t="e">
        <f ca="1">(C16*E16*B16*$D$2/1000*$D$3)/10000*(1+$F$18)*(1+$F$19)</f>
        <v>#REF!</v>
      </c>
      <c r="H16" s="7">
        <v>31811.9</v>
      </c>
      <c r="I16">
        <f>H16/100*C16/11000*B16/2</f>
        <v>41.644669090909098</v>
      </c>
      <c r="J16" s="19">
        <f t="shared" si="1"/>
        <v>0.44551536995745578</v>
      </c>
      <c r="K16" s="15">
        <f t="shared" si="4"/>
        <v>46.912768456520091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330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93.475269090909094</v>
      </c>
      <c r="J20" s="15"/>
      <c r="K20" s="18">
        <f>SUM(K5:K17)</f>
        <v>105.30000000000001</v>
      </c>
      <c r="M20" t="s">
        <v>69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4">_xlfn.UNIQUE(_xlfn._xlws.FILTER(D5:D15,D5:D15&lt;&gt;""))</f>
        <v>02200-PES-WEISS</v>
      </c>
      <c r="K22" s="28">
        <f t="shared" ref="K22:K29" si="5">SUMIF($D$5:$D$17,D22,$K$5:$K$17)</f>
        <v>39.175204689045799</v>
      </c>
      <c r="M22" s="32">
        <f>SUMIF($D$5:$D$15,D22,$B$5:$B$15)</f>
        <v>168</v>
      </c>
    </row>
    <row r="23" spans="1:13" x14ac:dyDescent="0.35">
      <c r="D23" t="str">
        <v>01100-PES-WEISS</v>
      </c>
      <c r="K23" s="28">
        <f t="shared" si="5"/>
        <v>18.546715263412992</v>
      </c>
      <c r="M23" s="32">
        <f>SUMIF($D$5:$D$15,D23,$B$5:$B$15)</f>
        <v>160</v>
      </c>
    </row>
    <row r="24" spans="1:13" x14ac:dyDescent="0.35">
      <c r="D24" t="str">
        <v>00550-PES-WEISS</v>
      </c>
      <c r="K24" s="28">
        <f t="shared" si="5"/>
        <v>0.66531159102111936</v>
      </c>
      <c r="M24" s="32">
        <f>SUMIF($D$5:$D$15,D24,$B$5:$B$15)</f>
        <v>1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18</v>
      </c>
      <c r="K30" s="15">
        <f>K16+K17</f>
        <v>46.912768456520091</v>
      </c>
      <c r="M30">
        <v>1</v>
      </c>
    </row>
    <row r="31" spans="1:13" x14ac:dyDescent="0.35">
      <c r="A31" t="s">
        <v>64</v>
      </c>
      <c r="D31" t="s">
        <v>22</v>
      </c>
      <c r="K31">
        <f>SUMIF(D5:D13,D31,K5:K13)</f>
        <v>39.175204689045799</v>
      </c>
    </row>
    <row r="32" spans="1:13" x14ac:dyDescent="0.35">
      <c r="A32" t="s">
        <v>65</v>
      </c>
      <c r="D32" t="s">
        <v>16</v>
      </c>
      <c r="K32" s="15">
        <f>K6</f>
        <v>18.546715263412992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B067469-C1AF-4021-B3BC-14A925C3D7CC}">
          <x14:formula1>
            <xm:f>#REF!</xm:f>
          </x14:formula1>
          <xm:sqref>D5:D17 D29:D30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DDEDB-F7BE-4B4E-9781-20D519DC51E8}">
  <sheetPr codeName="Sheet20"/>
  <dimension ref="A1:M32"/>
  <sheetViews>
    <sheetView topLeftCell="F26" workbookViewId="0">
      <selection activeCell="L32" sqref="L32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4.81640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7494068-000-00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93.7</v>
      </c>
      <c r="G2" s="8"/>
      <c r="K2" s="21" t="s">
        <v>38</v>
      </c>
    </row>
    <row r="3" spans="1:13" x14ac:dyDescent="0.35">
      <c r="A3" t="s">
        <v>39</v>
      </c>
      <c r="D3" s="4">
        <v>1870</v>
      </c>
      <c r="G3" s="5" t="s">
        <v>40</v>
      </c>
      <c r="K3" s="20">
        <v>121.1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196</v>
      </c>
      <c r="C5" s="7">
        <f t="shared" ref="C5:C17" si="0">IFERROR(VALUE(LEFT(D5,5)),)</f>
        <v>2200</v>
      </c>
      <c r="D5" s="7" t="s">
        <v>22</v>
      </c>
      <c r="E5" s="7">
        <v>1</v>
      </c>
      <c r="F5" s="14">
        <v>3.2000000000000001E-2</v>
      </c>
      <c r="G5" s="8" t="e">
        <f ca="1">(B5*C5*E5* (1+F5))/10000*(1+$F$18)*(1+$F$19)</f>
        <v>#REF!</v>
      </c>
      <c r="H5" s="7">
        <v>103.6</v>
      </c>
      <c r="I5">
        <f>H5/100*C5/11000*B5</f>
        <v>40.611200000000004</v>
      </c>
      <c r="J5" s="19">
        <f t="shared" ref="J5:J17" si="1">IFERROR(I5/$I$20,)</f>
        <v>0.37794165171603084</v>
      </c>
      <c r="K5" s="15">
        <f>J5*$K$3*(1+$F$18)</f>
        <v>45.76873402281133</v>
      </c>
    </row>
    <row r="6" spans="1:13" x14ac:dyDescent="0.35">
      <c r="A6" t="s">
        <v>55</v>
      </c>
      <c r="B6" s="7">
        <v>188</v>
      </c>
      <c r="C6" s="7">
        <f t="shared" si="0"/>
        <v>1100</v>
      </c>
      <c r="D6" s="7" t="s">
        <v>16</v>
      </c>
      <c r="E6" s="7">
        <v>1</v>
      </c>
      <c r="F6" s="14">
        <v>2.4E-2</v>
      </c>
      <c r="G6" s="8" t="e">
        <f t="shared" ref="G6:G14" ca="1" si="2">(B6*C6*E6* (1+F6))/10000*(1+$F$18)*(1+$F$19)</f>
        <v>#REF!</v>
      </c>
      <c r="H6" s="7">
        <v>103.3</v>
      </c>
      <c r="I6">
        <f t="shared" ref="I6:I15" si="3">H6/100*C6/11000*B6</f>
        <v>19.420399999999997</v>
      </c>
      <c r="J6" s="19">
        <f t="shared" si="1"/>
        <v>0.18073285332583139</v>
      </c>
      <c r="K6" s="15">
        <f t="shared" ref="K6:K17" si="4">J6*$K$3*(1+$F$18)</f>
        <v>21.88674853775818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1070.2</v>
      </c>
      <c r="I15">
        <f t="shared" si="3"/>
        <v>0.53510000000000002</v>
      </c>
      <c r="J15" s="19">
        <f t="shared" si="1"/>
        <v>4.9798227541478241E-3</v>
      </c>
      <c r="K15" s="15">
        <f t="shared" si="4"/>
        <v>0.60305653552730143</v>
      </c>
    </row>
    <row r="16" spans="1:13" x14ac:dyDescent="0.35">
      <c r="A16" t="s">
        <v>59</v>
      </c>
      <c r="B16" s="7">
        <v>2</v>
      </c>
      <c r="C16" s="7">
        <f t="shared" si="0"/>
        <v>1440</v>
      </c>
      <c r="D16" s="12" t="s">
        <v>18</v>
      </c>
      <c r="E16" s="7">
        <v>1</v>
      </c>
      <c r="F16" s="14"/>
      <c r="G16" s="8" t="e">
        <f ca="1">(C16*E16*B16*$D$2/1000*$D$3)/10000*(1+$F$18)*(1+$F$19)</f>
        <v>#REF!</v>
      </c>
      <c r="H16" s="7">
        <v>35816.400000000001</v>
      </c>
      <c r="I16">
        <f>H16/100*C16/11000*B16/2</f>
        <v>46.886923636363633</v>
      </c>
      <c r="J16" s="19">
        <f t="shared" si="1"/>
        <v>0.43634567220398995</v>
      </c>
      <c r="K16" s="15">
        <f t="shared" si="4"/>
        <v>52.841460903903183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386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107.45362363636363</v>
      </c>
      <c r="J20" s="15"/>
      <c r="K20" s="18">
        <f>SUM(K5:K17)</f>
        <v>121.1</v>
      </c>
      <c r="M20" t="s">
        <v>69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4">_xlfn.UNIQUE(_xlfn._xlws.FILTER(D5:D15,D5:D15&lt;&gt;""))</f>
        <v>02200-PES-WEISS</v>
      </c>
      <c r="K22" s="28">
        <f t="shared" ref="K22:K29" si="5">SUMIF($D$5:$D$17,D22,$K$5:$K$17)</f>
        <v>45.76873402281133</v>
      </c>
      <c r="M22" s="32">
        <f>SUMIF($D$5:$D$15,D22,$B$5:$B$15)</f>
        <v>196</v>
      </c>
    </row>
    <row r="23" spans="1:13" x14ac:dyDescent="0.35">
      <c r="D23" t="str">
        <v>01100-PES-WEISS</v>
      </c>
      <c r="K23" s="28">
        <f t="shared" si="5"/>
        <v>21.88674853775818</v>
      </c>
      <c r="M23" s="32">
        <f>SUMIF($D$5:$D$15,D23,$B$5:$B$15)</f>
        <v>188</v>
      </c>
    </row>
    <row r="24" spans="1:13" x14ac:dyDescent="0.35">
      <c r="D24" t="str">
        <v>00550-PES-WEISS</v>
      </c>
      <c r="K24" s="28">
        <f t="shared" si="5"/>
        <v>0.60305653552730143</v>
      </c>
      <c r="M24" s="32">
        <f>SUMIF($D$5:$D$15,D24,$B$5:$B$15)</f>
        <v>1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18</v>
      </c>
      <c r="K30" s="15">
        <f>K16+K17</f>
        <v>52.841460903903183</v>
      </c>
      <c r="M30">
        <v>1</v>
      </c>
    </row>
    <row r="31" spans="1:13" x14ac:dyDescent="0.35">
      <c r="A31" t="s">
        <v>64</v>
      </c>
      <c r="D31" t="s">
        <v>22</v>
      </c>
      <c r="K31">
        <f>SUMIF(D5:D13,D31,K5:K13)</f>
        <v>45.76873402281133</v>
      </c>
    </row>
    <row r="32" spans="1:13" x14ac:dyDescent="0.35">
      <c r="A32" t="s">
        <v>65</v>
      </c>
      <c r="D32" t="s">
        <v>16</v>
      </c>
      <c r="K32" s="15">
        <f>K6</f>
        <v>21.88674853775818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A7803F-195F-4449-8AAB-D655808DEFB5}">
          <x14:formula1>
            <xm:f>#REF!</xm:f>
          </x14:formula1>
          <xm:sqref>D5:D17 D29:D30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6F3EF-2E4C-487A-969F-21A99CF41178}">
  <sheetPr codeName="Sheet21"/>
  <dimension ref="A1:M32"/>
  <sheetViews>
    <sheetView topLeftCell="A27" workbookViewId="0">
      <selection activeCell="G33" sqref="G33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5.269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7494089-000-00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113.5</v>
      </c>
      <c r="G2" s="8"/>
      <c r="K2" s="21" t="s">
        <v>38</v>
      </c>
    </row>
    <row r="3" spans="1:13" x14ac:dyDescent="0.35">
      <c r="A3" t="s">
        <v>39</v>
      </c>
      <c r="D3" s="4">
        <v>1870</v>
      </c>
      <c r="G3" s="5" t="s">
        <v>40</v>
      </c>
      <c r="K3" s="20">
        <v>153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256</v>
      </c>
      <c r="C5" s="7">
        <f t="shared" ref="C5:C17" si="0">IFERROR(VALUE(LEFT(D5,5)),)</f>
        <v>2200</v>
      </c>
      <c r="D5" s="7" t="s">
        <v>22</v>
      </c>
      <c r="E5" s="7">
        <v>1</v>
      </c>
      <c r="F5" s="14">
        <v>2.9000000000000001E-2</v>
      </c>
      <c r="G5" s="8" t="e">
        <f ca="1">(B5*C5*E5* (1+F5))/10000*(1+$F$18)*(1+$F$19)</f>
        <v>#REF!</v>
      </c>
      <c r="H5" s="7">
        <v>104</v>
      </c>
      <c r="I5">
        <f>H5/100*C5/11000*B5</f>
        <v>53.247999999999998</v>
      </c>
      <c r="J5" s="19">
        <f t="shared" ref="J5:J17" si="1">IFERROR(I5/$I$20,)</f>
        <v>0.3905167881588969</v>
      </c>
      <c r="K5" s="15">
        <f>J5*$K$3*(1+$F$18)</f>
        <v>59.749068588311225</v>
      </c>
    </row>
    <row r="6" spans="1:13" x14ac:dyDescent="0.35">
      <c r="A6" t="s">
        <v>55</v>
      </c>
      <c r="B6" s="7">
        <v>248</v>
      </c>
      <c r="C6" s="7">
        <f t="shared" si="0"/>
        <v>1100</v>
      </c>
      <c r="D6" s="7" t="s">
        <v>16</v>
      </c>
      <c r="E6" s="7">
        <v>1</v>
      </c>
      <c r="F6" s="14">
        <v>2.9000000000000001E-2</v>
      </c>
      <c r="G6" s="8" t="e">
        <f t="shared" ref="G6:G14" ca="1" si="2">(B6*C6*E6* (1+F6))/10000*(1+$F$18)*(1+$F$19)</f>
        <v>#REF!</v>
      </c>
      <c r="H6" s="7">
        <v>103.3</v>
      </c>
      <c r="I6">
        <f t="shared" ref="I6:I15" si="3">H6/100*C6/11000*B6</f>
        <v>25.618399999999998</v>
      </c>
      <c r="J6" s="19">
        <f t="shared" si="1"/>
        <v>0.18788340004826254</v>
      </c>
      <c r="K6" s="15">
        <f t="shared" ref="K6:K17" si="4">J6*$K$3*(1+$F$18)</f>
        <v>28.746160207384168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1214.5999999999999</v>
      </c>
      <c r="I15">
        <f t="shared" si="3"/>
        <v>0.60729999999999995</v>
      </c>
      <c r="J15" s="19">
        <f t="shared" si="1"/>
        <v>4.4538920794940295E-3</v>
      </c>
      <c r="K15" s="15">
        <f t="shared" si="4"/>
        <v>0.68144548816258654</v>
      </c>
    </row>
    <row r="16" spans="1:13" x14ac:dyDescent="0.35">
      <c r="A16" t="s">
        <v>59</v>
      </c>
      <c r="B16" s="7">
        <v>2</v>
      </c>
      <c r="C16" s="7">
        <f t="shared" si="0"/>
        <v>1440</v>
      </c>
      <c r="D16" s="12" t="s">
        <v>18</v>
      </c>
      <c r="E16" s="7">
        <v>1</v>
      </c>
      <c r="F16" s="14"/>
      <c r="G16" s="8" t="e">
        <f ca="1">(C16*E16*B16*$D$2/1000*$D$3)/10000*(1+$F$18)*(1+$F$19)</f>
        <v>#REF!</v>
      </c>
      <c r="H16" s="7">
        <v>43449.2</v>
      </c>
      <c r="I16">
        <f>H16/100*C16/11000*B16/2</f>
        <v>56.878952727272726</v>
      </c>
      <c r="J16" s="19">
        <f t="shared" si="1"/>
        <v>0.41714591971334652</v>
      </c>
      <c r="K16" s="15">
        <f t="shared" si="4"/>
        <v>63.823325716142016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506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136.35265272727273</v>
      </c>
      <c r="J20" s="15"/>
      <c r="K20" s="18">
        <f>SUM(K5:K17)</f>
        <v>153</v>
      </c>
      <c r="M20" t="s">
        <v>69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4">_xlfn.UNIQUE(_xlfn._xlws.FILTER(D5:D15,D5:D15&lt;&gt;""))</f>
        <v>02200-PES-WEISS</v>
      </c>
      <c r="K22" s="28">
        <f t="shared" ref="K22:K29" si="5">SUMIF($D$5:$D$17,D22,$K$5:$K$17)</f>
        <v>59.749068588311225</v>
      </c>
      <c r="M22" s="32">
        <f>SUMIF($D$5:$D$15,D22,$B$5:$B$15)</f>
        <v>256</v>
      </c>
    </row>
    <row r="23" spans="1:13" x14ac:dyDescent="0.35">
      <c r="D23" t="str">
        <v>01100-PES-WEISS</v>
      </c>
      <c r="K23" s="28">
        <f t="shared" si="5"/>
        <v>28.746160207384168</v>
      </c>
      <c r="M23" s="32">
        <f>SUMIF($D$5:$D$15,D23,$B$5:$B$15)</f>
        <v>248</v>
      </c>
    </row>
    <row r="24" spans="1:13" x14ac:dyDescent="0.35">
      <c r="D24" t="str">
        <v>00550-PES-WEISS</v>
      </c>
      <c r="K24" s="28">
        <f t="shared" si="5"/>
        <v>0.68144548816258654</v>
      </c>
      <c r="M24" s="32">
        <f>SUMIF($D$5:$D$15,D24,$B$5:$B$15)</f>
        <v>1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18</v>
      </c>
      <c r="K30" s="15">
        <f>K16+K17</f>
        <v>63.823325716142016</v>
      </c>
      <c r="M30">
        <v>1</v>
      </c>
    </row>
    <row r="31" spans="1:13" x14ac:dyDescent="0.35">
      <c r="A31" t="s">
        <v>64</v>
      </c>
      <c r="D31" t="s">
        <v>22</v>
      </c>
      <c r="K31">
        <f>SUMIF(D5:D13,D31,K5:K13)</f>
        <v>59.749068588311225</v>
      </c>
    </row>
    <row r="32" spans="1:13" x14ac:dyDescent="0.35">
      <c r="A32" t="s">
        <v>65</v>
      </c>
      <c r="D32" t="s">
        <v>16</v>
      </c>
      <c r="K32" s="15">
        <f>K6</f>
        <v>28.746160207384168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C789EA-53BC-45FB-B010-6CA64516CD0E}">
          <x14:formula1>
            <xm:f>#REF!</xm:f>
          </x14:formula1>
          <xm:sqref>D5:D17 D29:D30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C1007-876E-49BD-BE21-933F99C9C224}">
  <sheetPr codeName="Sheet26"/>
  <dimension ref="A1:M31"/>
  <sheetViews>
    <sheetView topLeftCell="A25" workbookViewId="0">
      <selection activeCell="A31" sqref="A31:K3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4.4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7505051-095-00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57.5</v>
      </c>
      <c r="G2" s="8"/>
      <c r="K2" s="21" t="s">
        <v>38</v>
      </c>
    </row>
    <row r="3" spans="1:13" x14ac:dyDescent="0.35">
      <c r="A3" t="s">
        <v>39</v>
      </c>
      <c r="D3" s="4">
        <v>740</v>
      </c>
      <c r="G3" s="5" t="s">
        <v>40</v>
      </c>
      <c r="K3" s="20">
        <v>59.8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122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4.2999999999999997E-2</v>
      </c>
      <c r="G5" s="8" t="e">
        <f ca="1">(B5*C5*E5* (1+F5))/10000*(1+$F$18)*(1+$F$19)</f>
        <v>#REF!</v>
      </c>
      <c r="H5" s="7">
        <v>104.5</v>
      </c>
      <c r="I5">
        <f>H5/100*C5/11000*B5</f>
        <v>38.246999999999993</v>
      </c>
      <c r="J5" s="19">
        <f t="shared" ref="J5:J17" si="1">IFERROR(I5/$I$20,)</f>
        <v>0.71837493660900431</v>
      </c>
      <c r="K5" s="15">
        <f>J5*$K$3*(1+$F$18)</f>
        <v>42.958821209218456</v>
      </c>
    </row>
    <row r="6" spans="1:13" x14ac:dyDescent="0.35">
      <c r="A6" t="s">
        <v>52</v>
      </c>
      <c r="B6" s="7">
        <v>10</v>
      </c>
      <c r="C6" s="7">
        <f t="shared" si="0"/>
        <v>3300</v>
      </c>
      <c r="D6" s="7" t="s">
        <v>24</v>
      </c>
      <c r="E6" s="7"/>
      <c r="F6" s="14">
        <v>4.2999999999999997E-2</v>
      </c>
      <c r="G6" s="8" t="e">
        <f t="shared" ref="G6:G14" ca="1" si="2">(B6*C6*E6* (1+F6))/10000*(1+$F$18)*(1+$F$19)</f>
        <v>#REF!</v>
      </c>
      <c r="H6" s="7">
        <v>104.5</v>
      </c>
      <c r="I6">
        <f t="shared" ref="I6:I15" si="3">H6/100*C6/11000*B6</f>
        <v>3.1349999999999993</v>
      </c>
      <c r="J6" s="19">
        <f t="shared" si="1"/>
        <v>5.888319152532822E-2</v>
      </c>
      <c r="K6" s="15">
        <f t="shared" ref="K6:K17" si="4">J6*$K$3*(1+$F$18)</f>
        <v>3.5212148532146275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32</v>
      </c>
      <c r="C8" s="7">
        <f t="shared" si="0"/>
        <v>550</v>
      </c>
      <c r="D8" s="7" t="s">
        <v>3</v>
      </c>
      <c r="E8" s="7">
        <v>1</v>
      </c>
      <c r="F8" s="14">
        <v>0.104</v>
      </c>
      <c r="G8" s="8" t="e">
        <f t="shared" ca="1" si="2"/>
        <v>#REF!</v>
      </c>
      <c r="H8" s="7">
        <v>128.6</v>
      </c>
      <c r="I8">
        <f t="shared" si="3"/>
        <v>2.0576000000000003</v>
      </c>
      <c r="J8" s="19">
        <f t="shared" si="1"/>
        <v>3.8646907458537605E-2</v>
      </c>
      <c r="K8" s="15">
        <f t="shared" si="4"/>
        <v>2.3110850660205489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>
        <v>6</v>
      </c>
      <c r="C11" s="7">
        <f t="shared" si="0"/>
        <v>1100</v>
      </c>
      <c r="D11" s="7" t="s">
        <v>13</v>
      </c>
      <c r="E11" s="7">
        <v>1</v>
      </c>
      <c r="F11" s="14">
        <v>0.04</v>
      </c>
      <c r="G11" s="8" t="e">
        <f t="shared" ca="1" si="2"/>
        <v>#REF!</v>
      </c>
      <c r="H11" s="7">
        <v>104.5</v>
      </c>
      <c r="I11">
        <f t="shared" si="3"/>
        <v>0.627</v>
      </c>
      <c r="J11" s="19">
        <f t="shared" si="1"/>
        <v>1.1776638305065647E-2</v>
      </c>
      <c r="K11" s="15">
        <f t="shared" si="4"/>
        <v>0.70424297064292563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505.4</v>
      </c>
      <c r="I15">
        <f t="shared" si="3"/>
        <v>0.25269999999999998</v>
      </c>
      <c r="J15" s="19">
        <f t="shared" si="1"/>
        <v>4.7463421047688817E-3</v>
      </c>
      <c r="K15" s="15">
        <f t="shared" si="4"/>
        <v>0.2838312578651791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8921.7000000000007</v>
      </c>
      <c r="I16">
        <f>H16/100*C16/11000*B16/2</f>
        <v>8.9217000000000013</v>
      </c>
      <c r="J16" s="19">
        <f t="shared" si="1"/>
        <v>0.16757198399729537</v>
      </c>
      <c r="K16" s="15">
        <f t="shared" si="4"/>
        <v>10.020804643038263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172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53.240999999999993</v>
      </c>
      <c r="J20" s="15"/>
      <c r="K20" s="18">
        <f>SUM(K5:K17)</f>
        <v>59.8</v>
      </c>
      <c r="M20" t="s">
        <v>74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4">_xlfn.UNIQUE(_xlfn._xlws.FILTER(D5:D15,D5:D15&lt;&gt;""))</f>
        <v>03300-PES-WEISS</v>
      </c>
      <c r="K22" s="28">
        <f t="shared" ref="K22:K29" si="5">SUMIF($D$5:$D$17,D22,$K$5:$K$17)</f>
        <v>46.480036062433086</v>
      </c>
      <c r="M22" s="32">
        <f>SUMIF($D$5:$D$15,D22,$B$5:$B$15)</f>
        <v>132</v>
      </c>
    </row>
    <row r="23" spans="1:13" x14ac:dyDescent="0.35">
      <c r="D23" t="str">
        <v>00550-PES-WEISS</v>
      </c>
      <c r="K23" s="28">
        <f t="shared" si="5"/>
        <v>2.594916323885728</v>
      </c>
      <c r="M23" s="32">
        <f>SUMIF($D$5:$D$15,D23,$B$5:$B$15)</f>
        <v>33</v>
      </c>
    </row>
    <row r="24" spans="1:13" x14ac:dyDescent="0.35">
      <c r="D24" t="str">
        <v>01100-PES-ORANGE</v>
      </c>
      <c r="K24" s="28">
        <f t="shared" si="5"/>
        <v>0.70424297064292563</v>
      </c>
      <c r="M24" s="32">
        <f>SUMIF($D$5:$D$15,D24,$B$5:$B$15)</f>
        <v>6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10.020804643038263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46.480036062433086</v>
      </c>
    </row>
  </sheetData>
  <sortState xmlns:xlrd2="http://schemas.microsoft.com/office/spreadsheetml/2017/richdata2" ref="D31:D32">
    <sortCondition descending="1" ref="D30:D32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981AAA-8C18-4479-8F62-801E9326D9A8}">
          <x14:formula1>
            <xm:f>#REF!</xm:f>
          </x14:formula1>
          <xm:sqref>D5:D17 D29:D30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FEEC4-C4FB-41B0-A275-B88CDDD4799C}">
  <sheetPr codeName="Sheet39"/>
  <dimension ref="A1:M31"/>
  <sheetViews>
    <sheetView topLeftCell="A25" workbookViewId="0">
      <selection activeCell="K31" sqref="K31"/>
    </sheetView>
  </sheetViews>
  <sheetFormatPr defaultColWidth="11.7265625" defaultRowHeight="14.5" x14ac:dyDescent="0.35"/>
  <cols>
    <col min="1" max="1" width="18.26953125" bestFit="1" customWidth="1"/>
    <col min="4" max="4" width="29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4.179687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6153050-025-00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51.5</v>
      </c>
      <c r="G2" s="8"/>
      <c r="K2" s="21" t="s">
        <v>38</v>
      </c>
    </row>
    <row r="3" spans="1:13" x14ac:dyDescent="0.35">
      <c r="A3" t="s">
        <v>39</v>
      </c>
      <c r="D3" s="4">
        <v>380</v>
      </c>
      <c r="G3" s="5" t="s">
        <v>40</v>
      </c>
      <c r="K3" s="20">
        <v>118.7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12">
        <v>310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4.5999999999999999E-2</v>
      </c>
      <c r="G5" s="8" t="e">
        <f ca="1">(B5*C5*E5* (1+F5))/10000*(1+$F$18)*(1+$F$19)</f>
        <v>#REF!</v>
      </c>
      <c r="H5" s="7">
        <v>104.7</v>
      </c>
      <c r="I5">
        <f>H5/100*C5/11000*B5</f>
        <v>97.370999999999995</v>
      </c>
      <c r="J5" s="19">
        <f t="shared" ref="J5:J17" si="1">IFERROR(I5/$I$20,)</f>
        <v>0.92054024643871057</v>
      </c>
      <c r="K5" s="15">
        <f>J5*$K$3*(1+$F$18)</f>
        <v>109.26812725227495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s="24" t="s">
        <v>53</v>
      </c>
      <c r="B7" s="12"/>
      <c r="C7" s="12">
        <f t="shared" si="0"/>
        <v>0</v>
      </c>
      <c r="D7" s="23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41</v>
      </c>
      <c r="C8" s="7">
        <f t="shared" si="0"/>
        <v>466</v>
      </c>
      <c r="D8" s="7" t="s">
        <v>1</v>
      </c>
      <c r="E8" s="7">
        <v>1</v>
      </c>
      <c r="F8" s="14">
        <v>0.16500000000000001</v>
      </c>
      <c r="G8" s="8" t="e">
        <f t="shared" ca="1" si="2"/>
        <v>#REF!</v>
      </c>
      <c r="H8" s="7">
        <v>116.7</v>
      </c>
      <c r="I8">
        <f t="shared" si="3"/>
        <v>2.026972909090909</v>
      </c>
      <c r="J8" s="19">
        <f t="shared" si="1"/>
        <v>1.9162893893039361E-2</v>
      </c>
      <c r="K8" s="15">
        <f t="shared" si="4"/>
        <v>2.2746355051037721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>
        <v>10</v>
      </c>
      <c r="C10" s="7">
        <f t="shared" si="0"/>
        <v>1670</v>
      </c>
      <c r="D10" s="7" t="s">
        <v>19</v>
      </c>
      <c r="E10" s="7">
        <v>1</v>
      </c>
      <c r="F10" s="14">
        <v>4.5999999999999999E-2</v>
      </c>
      <c r="G10" s="8" t="e">
        <f t="shared" ca="1" si="2"/>
        <v>#REF!</v>
      </c>
      <c r="H10" s="7">
        <v>104.7</v>
      </c>
      <c r="I10">
        <f t="shared" si="3"/>
        <v>1.5895363636363635</v>
      </c>
      <c r="J10" s="19">
        <f t="shared" si="1"/>
        <v>1.5027392097288823E-2</v>
      </c>
      <c r="K10" s="15">
        <f t="shared" si="4"/>
        <v>1.7837514419481835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>
        <v>1</v>
      </c>
      <c r="C14" s="7">
        <f t="shared" si="0"/>
        <v>466</v>
      </c>
      <c r="D14" s="7" t="s">
        <v>1</v>
      </c>
      <c r="E14" s="7">
        <v>1</v>
      </c>
      <c r="F14" s="14"/>
      <c r="G14" s="8" t="e">
        <f t="shared" ca="1" si="2"/>
        <v>#REF!</v>
      </c>
      <c r="H14" s="7">
        <v>352</v>
      </c>
      <c r="I14">
        <f t="shared" si="3"/>
        <v>0.14912</v>
      </c>
      <c r="J14" s="19">
        <f t="shared" si="1"/>
        <v>1.4097725354462883E-3</v>
      </c>
      <c r="K14" s="15">
        <f t="shared" si="4"/>
        <v>0.16733999995747442</v>
      </c>
    </row>
    <row r="15" spans="1:13" x14ac:dyDescent="0.35">
      <c r="A15" t="s">
        <v>58</v>
      </c>
      <c r="B15" s="7">
        <v>1</v>
      </c>
      <c r="C15" s="7">
        <f t="shared" si="0"/>
        <v>1100</v>
      </c>
      <c r="D15" s="7" t="s">
        <v>16</v>
      </c>
      <c r="E15" s="7">
        <v>1</v>
      </c>
      <c r="F15" s="14"/>
      <c r="G15" s="8" t="e">
        <f ca="1">B15*C15*E15*(1+F15)/10000*(1+$F$18)*(1+$F$19)</f>
        <v>#REF!</v>
      </c>
      <c r="H15" s="7">
        <v>646</v>
      </c>
      <c r="I15">
        <f t="shared" si="3"/>
        <v>0.64600000000000002</v>
      </c>
      <c r="J15" s="19">
        <f t="shared" si="1"/>
        <v>6.1072495835454814E-3</v>
      </c>
      <c r="K15" s="15">
        <f t="shared" si="4"/>
        <v>0.72493052556684867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3993.3</v>
      </c>
      <c r="I16">
        <f>H16/100*C16/11000*B16/2</f>
        <v>3.9933000000000001</v>
      </c>
      <c r="J16" s="19">
        <f t="shared" si="1"/>
        <v>3.7752445451969305E-2</v>
      </c>
      <c r="K16" s="15">
        <f t="shared" si="4"/>
        <v>4.4812152751487568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364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105.77592927272728</v>
      </c>
      <c r="J20" s="15"/>
      <c r="K20" s="18">
        <f>SUM(K5:K17)</f>
        <v>118.69999999999999</v>
      </c>
      <c r="M20" t="s">
        <v>74</v>
      </c>
    </row>
    <row r="21" spans="1:13" x14ac:dyDescent="0.35">
      <c r="G21" s="9"/>
    </row>
    <row r="22" spans="1:13" x14ac:dyDescent="0.35">
      <c r="A22" t="s">
        <v>66</v>
      </c>
      <c r="D22" t="str" cm="1">
        <f t="array" ref="D22:D25">_xlfn.UNIQUE(_xlfn._xlws.FILTER(D5:D15,D5:D15&lt;&gt;""))</f>
        <v>03300-PES-WEISS</v>
      </c>
      <c r="K22" s="28">
        <f t="shared" ref="K22:K29" si="5">SUMIF($D$5:$D$17,D22,$K$5:$K$17)</f>
        <v>109.26812725227495</v>
      </c>
      <c r="M22" s="32">
        <f>SUMIF($D$5:$D$15,D22,$B$5:$B$15)</f>
        <v>310</v>
      </c>
    </row>
    <row r="23" spans="1:13" x14ac:dyDescent="0.35">
      <c r="D23" t="str">
        <v>00466-PES-WEISS</v>
      </c>
      <c r="K23" s="28">
        <f t="shared" si="5"/>
        <v>2.4419755050612464</v>
      </c>
      <c r="M23" s="32">
        <f>SUMIF($D$5:$D$15,D23,$B$5:$B$15)</f>
        <v>42</v>
      </c>
    </row>
    <row r="24" spans="1:13" x14ac:dyDescent="0.35">
      <c r="D24" t="str">
        <v>01670-PES-SCHWARZ</v>
      </c>
      <c r="K24" s="28">
        <f t="shared" si="5"/>
        <v>1.7837514419481835</v>
      </c>
      <c r="M24" s="32">
        <f>SUMIF($D$5:$D$15,D24,$B$5:$B$15)</f>
        <v>10</v>
      </c>
    </row>
    <row r="25" spans="1:13" x14ac:dyDescent="0.35">
      <c r="D25" t="str">
        <v>01100-PES-WEISS</v>
      </c>
      <c r="K25" s="28">
        <f t="shared" si="5"/>
        <v>5.2061458007156052</v>
      </c>
      <c r="M25" s="32">
        <f>SUMIF($D$5:$D$15,D25,$B$5:$B$15)</f>
        <v>1</v>
      </c>
    </row>
    <row r="26" spans="1:13" x14ac:dyDescent="0.35">
      <c r="K26" s="28">
        <f t="shared" si="5"/>
        <v>0</v>
      </c>
      <c r="M26" s="32">
        <f>SUMIF($D$5:$D$15,D26,$B$5:$B$15)</f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4.4812152751487568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109.26812725227495</v>
      </c>
    </row>
  </sheetData>
  <sortState xmlns:xlrd2="http://schemas.microsoft.com/office/spreadsheetml/2017/richdata2" ref="D31:D32">
    <sortCondition descending="1" ref="D30:D32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31C8E8A-5300-4EB0-8166-984811277835}">
          <x14:formula1>
            <xm:f>#REF!</xm:f>
          </x14:formula1>
          <xm:sqref>D5:D17 D29:D30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16FB5-1416-46B4-87A6-48664F6B1A5E}">
  <sheetPr codeName="Sheet56">
    <tabColor rgb="FF00B050"/>
  </sheetPr>
  <dimension ref="A1:M31"/>
  <sheetViews>
    <sheetView topLeftCell="A13" workbookViewId="0">
      <selection activeCell="D5" sqref="D5"/>
    </sheetView>
  </sheetViews>
  <sheetFormatPr defaultColWidth="11.7265625" defaultRowHeight="14.5" x14ac:dyDescent="0.35"/>
  <cols>
    <col min="1" max="1" width="18.26953125" bestFit="1" customWidth="1"/>
    <col min="4" max="4" width="29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5.7265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7694050-000-00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51.5</v>
      </c>
      <c r="G2" s="8"/>
      <c r="K2" s="21" t="s">
        <v>38</v>
      </c>
    </row>
    <row r="3" spans="1:13" x14ac:dyDescent="0.35">
      <c r="A3" t="s">
        <v>39</v>
      </c>
      <c r="D3" s="4">
        <v>380</v>
      </c>
      <c r="G3" s="5" t="s">
        <v>40</v>
      </c>
      <c r="K3" s="20">
        <v>118.7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12">
        <v>322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4.5999999999999999E-2</v>
      </c>
      <c r="G5" s="8" t="e">
        <f ca="1">(B5*C5*E5* (1+F5))/10000*(1+$F$18)*(1+$F$19)</f>
        <v>#REF!</v>
      </c>
      <c r="H5" s="7">
        <v>104.7</v>
      </c>
      <c r="I5">
        <f>H5/100*C5/11000*B5</f>
        <v>101.14019999999999</v>
      </c>
      <c r="J5" s="19">
        <f t="shared" ref="J5:J17" si="1">IFERROR(I5/$I$20,)</f>
        <v>0.90258999851617383</v>
      </c>
      <c r="K5" s="15" t="e">
        <f ca="1">J5*$K$3*(1+$F$18)</f>
        <v>#REF!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 t="e">
        <f t="shared" ref="K6:K17" ca="1" si="4">J6*$K$3*(1+$F$18)</f>
        <v>#REF!</v>
      </c>
    </row>
    <row r="7" spans="1:13" x14ac:dyDescent="0.35">
      <c r="A7" s="24" t="s">
        <v>53</v>
      </c>
      <c r="B7" s="12">
        <v>8</v>
      </c>
      <c r="C7" s="12">
        <f t="shared" si="0"/>
        <v>3300</v>
      </c>
      <c r="D7" s="7" t="s">
        <v>24</v>
      </c>
      <c r="E7" s="7"/>
      <c r="F7" s="14"/>
      <c r="G7" s="8" t="e">
        <f t="shared" ca="1" si="2"/>
        <v>#REF!</v>
      </c>
      <c r="H7" s="7">
        <v>104.6</v>
      </c>
      <c r="I7">
        <f t="shared" si="3"/>
        <v>2.5104000000000002</v>
      </c>
      <c r="J7" s="19">
        <f t="shared" si="1"/>
        <v>2.2403178283956361E-2</v>
      </c>
      <c r="K7" s="15" t="e">
        <f t="shared" ca="1" si="4"/>
        <v>#REF!</v>
      </c>
    </row>
    <row r="8" spans="1:13" x14ac:dyDescent="0.35">
      <c r="A8" t="s">
        <v>54</v>
      </c>
      <c r="B8" s="7">
        <v>41</v>
      </c>
      <c r="C8" s="7">
        <f t="shared" si="0"/>
        <v>466</v>
      </c>
      <c r="D8" s="7" t="s">
        <v>1</v>
      </c>
      <c r="E8" s="7">
        <v>1</v>
      </c>
      <c r="F8" s="14">
        <v>0.16500000000000001</v>
      </c>
      <c r="G8" s="8" t="e">
        <f t="shared" ca="1" si="2"/>
        <v>#REF!</v>
      </c>
      <c r="H8" s="7">
        <v>116.7</v>
      </c>
      <c r="I8">
        <f t="shared" si="3"/>
        <v>2.026972909090909</v>
      </c>
      <c r="J8" s="19">
        <f t="shared" si="1"/>
        <v>1.808900392730772E-2</v>
      </c>
      <c r="K8" s="15" t="e">
        <f t="shared" ca="1" si="4"/>
        <v>#REF!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 t="e">
        <f t="shared" ca="1" si="4"/>
        <v>#REF!</v>
      </c>
    </row>
    <row r="10" spans="1:13" x14ac:dyDescent="0.35">
      <c r="A10" t="s">
        <v>56</v>
      </c>
      <c r="B10" s="7">
        <v>10</v>
      </c>
      <c r="C10" s="7">
        <f t="shared" si="0"/>
        <v>1670</v>
      </c>
      <c r="D10" s="7" t="s">
        <v>19</v>
      </c>
      <c r="E10" s="7">
        <v>1</v>
      </c>
      <c r="F10" s="14">
        <v>4.5999999999999999E-2</v>
      </c>
      <c r="G10" s="8" t="e">
        <f t="shared" ca="1" si="2"/>
        <v>#REF!</v>
      </c>
      <c r="H10" s="7">
        <v>104.7</v>
      </c>
      <c r="I10">
        <f t="shared" si="3"/>
        <v>1.5895363636363635</v>
      </c>
      <c r="J10" s="19">
        <f t="shared" si="1"/>
        <v>1.4185255952588089E-2</v>
      </c>
      <c r="K10" s="15" t="e">
        <f t="shared" ca="1" si="4"/>
        <v>#REF!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 t="e">
        <f t="shared" ca="1" si="4"/>
        <v>#REF!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 t="e">
        <f t="shared" ca="1" si="4"/>
        <v>#REF!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 t="e">
        <f t="shared" ca="1" si="4"/>
        <v>#REF!</v>
      </c>
    </row>
    <row r="14" spans="1:13" x14ac:dyDescent="0.35">
      <c r="A14" t="s">
        <v>57</v>
      </c>
      <c r="B14" s="7">
        <v>1</v>
      </c>
      <c r="C14" s="7">
        <f t="shared" si="0"/>
        <v>466</v>
      </c>
      <c r="D14" s="7" t="s">
        <v>1</v>
      </c>
      <c r="E14" s="7">
        <v>1</v>
      </c>
      <c r="F14" s="14"/>
      <c r="G14" s="8" t="e">
        <f t="shared" ca="1" si="2"/>
        <v>#REF!</v>
      </c>
      <c r="H14" s="7">
        <v>352</v>
      </c>
      <c r="I14">
        <f t="shared" si="3"/>
        <v>0.14912</v>
      </c>
      <c r="J14" s="19">
        <f t="shared" si="1"/>
        <v>1.3307687801559802E-3</v>
      </c>
      <c r="K14" s="15" t="e">
        <f t="shared" ca="1" si="4"/>
        <v>#REF!</v>
      </c>
    </row>
    <row r="15" spans="1:13" x14ac:dyDescent="0.35">
      <c r="A15" t="s">
        <v>58</v>
      </c>
      <c r="B15" s="7">
        <v>1</v>
      </c>
      <c r="C15" s="7">
        <f t="shared" si="0"/>
        <v>1100</v>
      </c>
      <c r="D15" s="7" t="s">
        <v>16</v>
      </c>
      <c r="E15" s="7">
        <v>1</v>
      </c>
      <c r="F15" s="14"/>
      <c r="G15" s="8" t="e">
        <f ca="1">B15*C15*E15*(1+F15)/10000*(1+$F$18)*(1+$F$19)</f>
        <v>#REF!</v>
      </c>
      <c r="H15" s="7">
        <v>646</v>
      </c>
      <c r="I15">
        <f t="shared" si="3"/>
        <v>0.64600000000000002</v>
      </c>
      <c r="J15" s="19">
        <f t="shared" si="1"/>
        <v>5.7649988732615554E-3</v>
      </c>
      <c r="K15" s="15" t="e">
        <f t="shared" ca="1" si="4"/>
        <v>#REF!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3993.3</v>
      </c>
      <c r="I16">
        <f>H16/100*C16/11000*B16/2</f>
        <v>3.9933000000000001</v>
      </c>
      <c r="J16" s="19">
        <f t="shared" si="1"/>
        <v>3.5636795666556295E-2</v>
      </c>
      <c r="K16" s="15" t="e">
        <f t="shared" ca="1" si="4"/>
        <v>#REF!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 t="e">
        <f t="shared" ca="1" si="4"/>
        <v>#REF!</v>
      </c>
    </row>
    <row r="18" spans="1:13" x14ac:dyDescent="0.35">
      <c r="B18">
        <f>SUM(B5:B17)-1</f>
        <v>384</v>
      </c>
      <c r="D18" s="16" t="s">
        <v>31</v>
      </c>
      <c r="F18" s="14" t="e">
        <f ca="1">_xlfn.XLOOKUP(D1,#REF!,#REF!,0,0)</f>
        <v>#REF!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112.05552927272728</v>
      </c>
      <c r="J20" s="15"/>
      <c r="K20" s="18" t="e">
        <f ca="1">SUM(K5:K17)</f>
        <v>#REF!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5">_xlfn.UNIQUE(_xlfn._xlws.FILTER(D5:D15,D5:D15&lt;&gt;""))</f>
        <v>03300-PES-WEISS</v>
      </c>
      <c r="K22" s="28" t="e">
        <f t="shared" ref="K22:K29" ca="1" si="5">SUMIF($D$5:$D$17,D22,$K$5:$K$17)</f>
        <v>#REF!</v>
      </c>
      <c r="M22" s="32">
        <f>SUMIF($D$5:$D$15,D22,$B$5:$B$15)</f>
        <v>330</v>
      </c>
    </row>
    <row r="23" spans="1:13" x14ac:dyDescent="0.35">
      <c r="D23" t="str">
        <v>00466-PES-WEISS</v>
      </c>
      <c r="K23" s="28" t="e">
        <f t="shared" ca="1" si="5"/>
        <v>#REF!</v>
      </c>
      <c r="M23" s="32">
        <f>SUMIF($D$5:$D$15,D23,$B$5:$B$15)</f>
        <v>42</v>
      </c>
    </row>
    <row r="24" spans="1:13" x14ac:dyDescent="0.35">
      <c r="D24" t="str">
        <v>01670-PES-SCHWARZ</v>
      </c>
      <c r="K24" s="28" t="e">
        <f t="shared" ca="1" si="5"/>
        <v>#REF!</v>
      </c>
      <c r="M24" s="32">
        <f>SUMIF($D$5:$D$15,D24,$B$5:$B$15)</f>
        <v>10</v>
      </c>
    </row>
    <row r="25" spans="1:13" x14ac:dyDescent="0.35">
      <c r="D25" t="str">
        <v>01100-PES-WEISS</v>
      </c>
      <c r="K25" s="28" t="e">
        <f t="shared" ca="1" si="5"/>
        <v>#REF!</v>
      </c>
      <c r="M25" s="32">
        <f>SUMIF($D$5:$D$15,D25,$B$5:$B$15)</f>
        <v>1</v>
      </c>
    </row>
    <row r="26" spans="1:13" x14ac:dyDescent="0.35">
      <c r="K26" s="28">
        <f t="shared" si="5"/>
        <v>0</v>
      </c>
      <c r="M26" s="32">
        <f>SUMIF($D$5:$D$15,D26,$B$5:$B$15)</f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 t="e">
        <f ca="1">K16+K17</f>
        <v>#REF!</v>
      </c>
      <c r="M30">
        <v>1</v>
      </c>
    </row>
    <row r="31" spans="1:13" x14ac:dyDescent="0.35">
      <c r="A31" t="s">
        <v>64</v>
      </c>
      <c r="D31" t="s">
        <v>24</v>
      </c>
      <c r="K31" t="e">
        <f ca="1">SUMIF(D5:D13,D31,K5:K13)</f>
        <v>#REF!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A8E8B0-3A22-4A29-861F-28A3AFE82D2D}">
          <x14:formula1>
            <xm:f>#REF!</xm:f>
          </x14:formula1>
          <xm:sqref>D5:D17 D29:D30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270F2-C24E-445D-B0B2-5F85D491BC96}">
  <sheetPr codeName="Sheet41"/>
  <dimension ref="A1:M31"/>
  <sheetViews>
    <sheetView topLeftCell="A25" workbookViewId="0">
      <selection activeCell="A31" sqref="A31:K31"/>
    </sheetView>
  </sheetViews>
  <sheetFormatPr defaultColWidth="11.7265625" defaultRowHeight="14.5" x14ac:dyDescent="0.35"/>
  <cols>
    <col min="1" max="1" width="18.26953125" bestFit="1" customWidth="1"/>
    <col min="4" max="4" width="29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3.7265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6623051-095-00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56</v>
      </c>
      <c r="G2" s="8"/>
      <c r="K2" s="21" t="s">
        <v>38</v>
      </c>
    </row>
    <row r="3" spans="1:13" x14ac:dyDescent="0.35">
      <c r="A3" t="s">
        <v>39</v>
      </c>
      <c r="D3" s="4">
        <v>860</v>
      </c>
      <c r="G3" s="5" t="s">
        <v>40</v>
      </c>
      <c r="K3" s="20">
        <v>59.9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127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0.04</v>
      </c>
      <c r="G5" s="8" t="e">
        <f ca="1">(B5*C5*E5* (1+F5))/10000*(1+$F$18)*(1+$F$19)</f>
        <v>#REF!</v>
      </c>
      <c r="H5" s="7">
        <v>104.5</v>
      </c>
      <c r="I5">
        <f>H5/100*C5/11000*B5</f>
        <v>39.814499999999995</v>
      </c>
      <c r="J5" s="19">
        <f t="shared" ref="J5:J17" si="1">IFERROR(I5/$I$20,)</f>
        <v>0.74724740552780455</v>
      </c>
      <c r="K5" s="15">
        <f>J5*$K$3*(1+$F$18)</f>
        <v>44.76011959111549</v>
      </c>
    </row>
    <row r="6" spans="1:13" x14ac:dyDescent="0.35">
      <c r="A6" t="s">
        <v>52</v>
      </c>
      <c r="B6" s="7">
        <v>6</v>
      </c>
      <c r="C6" s="7">
        <f t="shared" si="0"/>
        <v>1100</v>
      </c>
      <c r="D6" s="7" t="s">
        <v>13</v>
      </c>
      <c r="E6" s="7">
        <v>1</v>
      </c>
      <c r="F6" s="14">
        <v>4.4999999999999998E-2</v>
      </c>
      <c r="G6" s="8" t="e">
        <f t="shared" ref="G6:G14" ca="1" si="2">(B6*C6*E6* (1+F6))/10000*(1+$F$18)*(1+$F$19)</f>
        <v>#REF!</v>
      </c>
      <c r="H6" s="7">
        <v>104.6</v>
      </c>
      <c r="I6">
        <f t="shared" ref="I6:I15" si="3">H6/100*C6/11000*B6</f>
        <v>0.62760000000000005</v>
      </c>
      <c r="J6" s="19">
        <f t="shared" si="1"/>
        <v>1.1778936611266002E-2</v>
      </c>
      <c r="K6" s="15">
        <f t="shared" ref="K6:K17" si="4">J6*$K$3*(1+$F$18)</f>
        <v>0.70555830301483347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31</v>
      </c>
      <c r="C8" s="7">
        <f t="shared" si="0"/>
        <v>550</v>
      </c>
      <c r="D8" s="7" t="s">
        <v>3</v>
      </c>
      <c r="E8" s="7">
        <v>1</v>
      </c>
      <c r="F8" s="14">
        <v>0.20499999999999999</v>
      </c>
      <c r="G8" s="8" t="e">
        <f t="shared" ca="1" si="2"/>
        <v>#REF!</v>
      </c>
      <c r="H8" s="7">
        <v>119.8</v>
      </c>
      <c r="I8">
        <f t="shared" si="3"/>
        <v>1.8568999999999998</v>
      </c>
      <c r="J8" s="19">
        <f t="shared" si="1"/>
        <v>3.4850712864021402E-2</v>
      </c>
      <c r="K8" s="15">
        <f t="shared" si="4"/>
        <v>2.087557700554882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>
        <v>1</v>
      </c>
      <c r="C14" s="7">
        <f t="shared" si="0"/>
        <v>550</v>
      </c>
      <c r="D14" s="7" t="s">
        <v>3</v>
      </c>
      <c r="E14" s="7">
        <v>1</v>
      </c>
      <c r="F14" s="14"/>
      <c r="G14" s="8" t="e">
        <f t="shared" ca="1" si="2"/>
        <v>#REF!</v>
      </c>
      <c r="H14" s="7">
        <v>479.5</v>
      </c>
      <c r="I14">
        <f t="shared" si="3"/>
        <v>0.23974999999999999</v>
      </c>
      <c r="J14" s="19">
        <f t="shared" si="1"/>
        <v>4.4996814094184568E-3</v>
      </c>
      <c r="K14" s="15">
        <f t="shared" si="4"/>
        <v>0.26953091642416555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588.20000000000005</v>
      </c>
      <c r="I15">
        <f t="shared" si="3"/>
        <v>0.29410000000000003</v>
      </c>
      <c r="J15" s="19">
        <f t="shared" si="1"/>
        <v>5.5197343170384494E-3</v>
      </c>
      <c r="K15" s="15">
        <f t="shared" si="4"/>
        <v>0.33063208559060309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10448.700000000001</v>
      </c>
      <c r="I16">
        <f>H16/100*C16/11000*B16/2</f>
        <v>10.448700000000001</v>
      </c>
      <c r="J16" s="19">
        <f t="shared" si="1"/>
        <v>0.19610352927045102</v>
      </c>
      <c r="K16" s="15">
        <f t="shared" si="4"/>
        <v>11.746601403300016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167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53.281550000000003</v>
      </c>
      <c r="J20" s="15"/>
      <c r="K20" s="18">
        <f>SUM(K5:K17)</f>
        <v>59.899999999999991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4">_xlfn.UNIQUE(_xlfn._xlws.FILTER(D5:D15,D5:D15&lt;&gt;""))</f>
        <v>03300-PES-WEISS</v>
      </c>
      <c r="K22" s="28">
        <f t="shared" ref="K22:K29" si="5">SUMIF($D$5:$D$17,D22,$K$5:$K$17)</f>
        <v>44.76011959111549</v>
      </c>
      <c r="M22" s="32">
        <f>SUMIF($D$5:$D$15,D22,$B$5:$B$15)</f>
        <v>127</v>
      </c>
    </row>
    <row r="23" spans="1:13" x14ac:dyDescent="0.35">
      <c r="D23" t="str">
        <v>01100-PES-ORANGE</v>
      </c>
      <c r="K23" s="28">
        <f t="shared" si="5"/>
        <v>0.70555830301483347</v>
      </c>
      <c r="M23" s="32">
        <f>SUMIF($D$5:$D$15,D23,$B$5:$B$15)</f>
        <v>6</v>
      </c>
    </row>
    <row r="24" spans="1:13" x14ac:dyDescent="0.35">
      <c r="D24" t="str">
        <v>00550-PES-WEISS</v>
      </c>
      <c r="K24" s="28">
        <f t="shared" si="5"/>
        <v>2.6877207025696506</v>
      </c>
      <c r="M24" s="32">
        <f>SUMIF($D$5:$D$15,D24,$B$5:$B$15)</f>
        <v>33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11.746601403300016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44.76011959111549</v>
      </c>
    </row>
  </sheetData>
  <sortState xmlns:xlrd2="http://schemas.microsoft.com/office/spreadsheetml/2017/richdata2" ref="D31:D32">
    <sortCondition descending="1" ref="D30:D32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D5AE98-5301-44DC-AF1B-55E6E660F7F1}">
          <x14:formula1>
            <xm:f>#REF!</xm:f>
          </x14:formula1>
          <xm:sqref>D5:D17 D29:D30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EB6EC-1E2B-44B2-BCE0-6D0E3A2ED356}">
  <sheetPr codeName="Sheet22"/>
  <dimension ref="A1:M31"/>
  <sheetViews>
    <sheetView topLeftCell="A25" workbookViewId="0">
      <selection activeCell="D31" sqref="D3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6869027-000-00</v>
      </c>
      <c r="E1" s="2"/>
      <c r="F1" s="3"/>
      <c r="G1" s="8"/>
    </row>
    <row r="2" spans="1:13" x14ac:dyDescent="0.35">
      <c r="A2" t="s">
        <v>37</v>
      </c>
      <c r="C2" s="6"/>
      <c r="D2" s="4">
        <v>28.5</v>
      </c>
      <c r="G2" s="8"/>
      <c r="K2" s="21" t="s">
        <v>38</v>
      </c>
    </row>
    <row r="3" spans="1:13" x14ac:dyDescent="0.35">
      <c r="A3" t="s">
        <v>39</v>
      </c>
      <c r="D3" s="4">
        <v>500</v>
      </c>
      <c r="G3" s="5" t="s">
        <v>40</v>
      </c>
      <c r="K3" s="20">
        <v>81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  <c r="M4" s="31" t="s">
        <v>36</v>
      </c>
    </row>
    <row r="5" spans="1:13" x14ac:dyDescent="0.35">
      <c r="A5" t="s">
        <v>51</v>
      </c>
      <c r="B5" s="7">
        <v>130</v>
      </c>
      <c r="C5" s="7">
        <f t="shared" ref="C5:C17" si="0">IFERROR(VALUE(LEFT(D5,5)),)</f>
        <v>2800</v>
      </c>
      <c r="D5" s="7" t="s">
        <v>23</v>
      </c>
      <c r="E5" s="7">
        <v>1</v>
      </c>
      <c r="F5" s="14">
        <v>6.7000000000000004E-2</v>
      </c>
      <c r="G5" s="8" t="e">
        <f ca="1">(B5*C5*E5* (1+F5))/10000*(1+$F$18)*(1+$F$19)</f>
        <v>#REF!</v>
      </c>
      <c r="H5" s="7">
        <v>104.9</v>
      </c>
      <c r="I5">
        <f>H5/100*C5/11000*B5</f>
        <v>34.712363636363634</v>
      </c>
      <c r="J5" s="19">
        <f t="shared" ref="J5:J17" si="1">IFERROR(I5/$I$20,)</f>
        <v>0.47259446907680658</v>
      </c>
      <c r="K5" s="15">
        <f>J5*$K$3*(1+$F$18)</f>
        <v>38.280151995221331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11</v>
      </c>
      <c r="C8" s="7">
        <f t="shared" si="0"/>
        <v>1880</v>
      </c>
      <c r="D8" s="7" t="s">
        <v>21</v>
      </c>
      <c r="E8" s="7">
        <v>1</v>
      </c>
      <c r="F8" s="14">
        <v>0.17399999999999999</v>
      </c>
      <c r="G8" s="8" t="e">
        <f t="shared" ca="1" si="2"/>
        <v>#REF!</v>
      </c>
      <c r="H8" s="7">
        <v>124.6</v>
      </c>
      <c r="I8">
        <f t="shared" si="3"/>
        <v>2.3424800000000001</v>
      </c>
      <c r="J8" s="19">
        <f t="shared" si="1"/>
        <v>3.1891896026444384E-2</v>
      </c>
      <c r="K8" s="15">
        <f t="shared" si="4"/>
        <v>2.5832435781419951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>
        <v>120</v>
      </c>
      <c r="C10" s="7">
        <f t="shared" si="0"/>
        <v>2800</v>
      </c>
      <c r="D10" s="7" t="s">
        <v>23</v>
      </c>
      <c r="E10" s="7">
        <v>1</v>
      </c>
      <c r="F10" s="14">
        <v>4.5999999999999999E-2</v>
      </c>
      <c r="G10" s="8" t="e">
        <f t="shared" ca="1" si="2"/>
        <v>#REF!</v>
      </c>
      <c r="H10" s="7">
        <v>103.1</v>
      </c>
      <c r="I10">
        <f t="shared" si="3"/>
        <v>31.492363636363635</v>
      </c>
      <c r="J10" s="19">
        <f t="shared" si="1"/>
        <v>0.42875550131394374</v>
      </c>
      <c r="K10" s="15">
        <f t="shared" si="4"/>
        <v>34.729195606429442</v>
      </c>
    </row>
    <row r="11" spans="1:13" x14ac:dyDescent="0.35">
      <c r="A11" t="s">
        <v>56</v>
      </c>
      <c r="B11" s="7">
        <v>2</v>
      </c>
      <c r="C11" s="7">
        <f t="shared" si="0"/>
        <v>1100</v>
      </c>
      <c r="D11" s="7" t="s">
        <v>14</v>
      </c>
      <c r="E11" s="7">
        <v>1</v>
      </c>
      <c r="F11" s="14">
        <v>4.2000000000000003E-2</v>
      </c>
      <c r="G11" s="8" t="e">
        <f t="shared" ca="1" si="2"/>
        <v>#REF!</v>
      </c>
      <c r="H11" s="7">
        <v>103.1</v>
      </c>
      <c r="I11">
        <f t="shared" si="3"/>
        <v>0.20619999999999999</v>
      </c>
      <c r="J11" s="19">
        <f t="shared" si="1"/>
        <v>2.807327687174632E-3</v>
      </c>
      <c r="K11" s="15">
        <f t="shared" si="4"/>
        <v>0.2273935426611452</v>
      </c>
    </row>
    <row r="12" spans="1:13" x14ac:dyDescent="0.35">
      <c r="A12" t="s">
        <v>56</v>
      </c>
      <c r="B12" s="7">
        <v>1</v>
      </c>
      <c r="C12" s="7">
        <f t="shared" si="0"/>
        <v>1100</v>
      </c>
      <c r="D12" s="7" t="s">
        <v>11</v>
      </c>
      <c r="E12" s="7">
        <v>1</v>
      </c>
      <c r="F12" s="14">
        <v>4.3999999999999997E-2</v>
      </c>
      <c r="G12" s="8" t="e">
        <f t="shared" ca="1" si="2"/>
        <v>#REF!</v>
      </c>
      <c r="H12" s="7">
        <v>103.2</v>
      </c>
      <c r="I12">
        <f t="shared" si="3"/>
        <v>0.1032</v>
      </c>
      <c r="J12" s="19">
        <f t="shared" si="1"/>
        <v>1.4050253022134919E-3</v>
      </c>
      <c r="K12" s="15">
        <f t="shared" si="4"/>
        <v>0.11380704947929285</v>
      </c>
    </row>
    <row r="13" spans="1:13" x14ac:dyDescent="0.35">
      <c r="A13" t="s">
        <v>56</v>
      </c>
      <c r="B13" s="7">
        <v>1</v>
      </c>
      <c r="C13" s="7">
        <f t="shared" si="0"/>
        <v>1100</v>
      </c>
      <c r="D13" s="7" t="s">
        <v>12</v>
      </c>
      <c r="E13" s="7">
        <v>1</v>
      </c>
      <c r="F13" s="14">
        <v>4.3999999999999997E-2</v>
      </c>
      <c r="G13" s="8" t="e">
        <f t="shared" ca="1" si="2"/>
        <v>#REF!</v>
      </c>
      <c r="H13" s="7">
        <v>103.2</v>
      </c>
      <c r="I13">
        <f t="shared" si="3"/>
        <v>0.1032</v>
      </c>
      <c r="J13" s="19">
        <f t="shared" si="1"/>
        <v>1.4050253022134919E-3</v>
      </c>
      <c r="K13" s="15">
        <f t="shared" si="4"/>
        <v>0.11380704947929285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940</v>
      </c>
      <c r="D15" s="7" t="s">
        <v>9</v>
      </c>
      <c r="E15" s="7">
        <v>1</v>
      </c>
      <c r="F15" s="14"/>
      <c r="G15" s="8" t="e">
        <f ca="1">B15*C15*E15*(1+F15)/10000*(1+$F$18)*(1+$F$19)</f>
        <v>#REF!</v>
      </c>
      <c r="H15" s="7">
        <v>456.5</v>
      </c>
      <c r="I15">
        <f t="shared" si="3"/>
        <v>0.39010000000000006</v>
      </c>
      <c r="J15" s="19">
        <f t="shared" si="1"/>
        <v>5.3110501007120467E-3</v>
      </c>
      <c r="K15" s="15">
        <f t="shared" si="4"/>
        <v>0.43019505815767578</v>
      </c>
    </row>
    <row r="16" spans="1:13" x14ac:dyDescent="0.35">
      <c r="A16" t="s">
        <v>59</v>
      </c>
      <c r="B16" s="7">
        <v>2</v>
      </c>
      <c r="C16" s="7">
        <f t="shared" si="0"/>
        <v>1400</v>
      </c>
      <c r="D16" s="12" t="s">
        <v>17</v>
      </c>
      <c r="E16" s="7">
        <v>1</v>
      </c>
      <c r="F16" s="14"/>
      <c r="G16" s="8" t="e">
        <f ca="1">(C16*E16*B16*$D$2/1000*$D$3)/10000*(1+$F$18)*(1+$F$19)</f>
        <v>#REF!</v>
      </c>
      <c r="H16" s="7">
        <v>3222</v>
      </c>
      <c r="I16">
        <f>H16/100*C16/11000*B16/2</f>
        <v>4.1007272727272728</v>
      </c>
      <c r="J16" s="19">
        <f t="shared" si="1"/>
        <v>5.5829705190491713E-2</v>
      </c>
      <c r="K16" s="15">
        <f t="shared" si="4"/>
        <v>4.5222061204298285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267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73.450634545454534</v>
      </c>
      <c r="J20" s="15"/>
      <c r="K20" s="18">
        <f>SUM(K5:K17)</f>
        <v>81.000000000000014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7">_xlfn.UNIQUE(_xlfn._xlws.FILTER(D5:D15,D5:D15&lt;&gt;""))</f>
        <v>02800-PA6-WEISS</v>
      </c>
      <c r="K22" s="28">
        <f t="shared" ref="K22:K29" si="5">SUMIF($D$5:$D$17,D22,$K$5:$K$17)</f>
        <v>73.009347601650774</v>
      </c>
      <c r="M22" s="32">
        <f t="shared" ref="M22:M28" si="6">SUMIF($D$5:$D$15,D22,$B$5:$B$15)</f>
        <v>250</v>
      </c>
    </row>
    <row r="23" spans="1:13" x14ac:dyDescent="0.35">
      <c r="D23" t="str">
        <v>01880-PA6-WEISS</v>
      </c>
      <c r="K23" s="28">
        <f t="shared" si="5"/>
        <v>2.5832435781419951</v>
      </c>
      <c r="M23" s="32">
        <f t="shared" si="6"/>
        <v>11</v>
      </c>
    </row>
    <row r="24" spans="1:13" x14ac:dyDescent="0.35">
      <c r="D24" t="str">
        <v>01100-PES-ROT</v>
      </c>
      <c r="K24" s="28">
        <f t="shared" si="5"/>
        <v>0.2273935426611452</v>
      </c>
      <c r="M24" s="32">
        <f t="shared" si="6"/>
        <v>2</v>
      </c>
    </row>
    <row r="25" spans="1:13" x14ac:dyDescent="0.35">
      <c r="D25" t="str">
        <v>01100-PES-BLAU</v>
      </c>
      <c r="K25" s="28">
        <f t="shared" si="5"/>
        <v>0.11380704947929285</v>
      </c>
      <c r="M25" s="32">
        <f t="shared" si="6"/>
        <v>1</v>
      </c>
    </row>
    <row r="26" spans="1:13" x14ac:dyDescent="0.35">
      <c r="D26" t="str">
        <v>01100-PES-GRUEN</v>
      </c>
      <c r="K26" s="28">
        <f t="shared" si="5"/>
        <v>0.11380704947929285</v>
      </c>
      <c r="M26" s="32">
        <f t="shared" si="6"/>
        <v>1</v>
      </c>
    </row>
    <row r="27" spans="1:13" x14ac:dyDescent="0.35">
      <c r="D27" t="str">
        <v>00940-PA6-GELB</v>
      </c>
      <c r="K27" s="28">
        <f t="shared" si="5"/>
        <v>0.43019505815767578</v>
      </c>
      <c r="M27" s="32">
        <f t="shared" si="6"/>
        <v>1</v>
      </c>
    </row>
    <row r="28" spans="1:13" x14ac:dyDescent="0.35">
      <c r="K28" s="28">
        <f t="shared" si="5"/>
        <v>0</v>
      </c>
      <c r="M28" s="32">
        <f t="shared" si="6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17</v>
      </c>
      <c r="K30" s="15">
        <f>K16+K17</f>
        <v>4.5222061204298285</v>
      </c>
      <c r="M30">
        <v>1</v>
      </c>
    </row>
    <row r="31" spans="1:13" x14ac:dyDescent="0.35">
      <c r="A31" t="s">
        <v>64</v>
      </c>
      <c r="D31" t="s">
        <v>23</v>
      </c>
      <c r="K31">
        <f>SUMIF(D5:D13,D31,K5:K13)</f>
        <v>73.009347601650774</v>
      </c>
    </row>
  </sheetData>
  <sortState xmlns:xlrd2="http://schemas.microsoft.com/office/spreadsheetml/2017/richdata2" ref="D31:D34">
    <sortCondition descending="1" ref="D30:D34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EDC391-9D2D-4DF1-BD24-B0090719B637}">
          <x14:formula1>
            <xm:f>#REF!</xm:f>
          </x14:formula1>
          <xm:sqref>D5:D17 D29:D30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0ADD7-46A3-4B57-B160-E6A268265ECF}">
  <sheetPr codeName="Sheet4"/>
  <dimension ref="A1:M31"/>
  <sheetViews>
    <sheetView topLeftCell="A25" workbookViewId="0">
      <selection activeCell="D31" sqref="D31"/>
    </sheetView>
  </sheetViews>
  <sheetFormatPr defaultColWidth="8.81640625" defaultRowHeight="14.5" x14ac:dyDescent="0.35"/>
  <cols>
    <col min="1" max="1" width="18.453125" bestFit="1" customWidth="1"/>
    <col min="4" max="4" width="27.453125" bestFit="1" customWidth="1"/>
    <col min="8" max="8" width="10.7265625" customWidth="1"/>
    <col min="9" max="9" width="15.453125" customWidth="1"/>
    <col min="11" max="11" width="13.4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6869038-000-00</v>
      </c>
      <c r="E1" s="2"/>
      <c r="F1" s="3"/>
      <c r="G1" s="8"/>
    </row>
    <row r="2" spans="1:13" x14ac:dyDescent="0.35">
      <c r="A2" t="s">
        <v>37</v>
      </c>
      <c r="C2" s="6"/>
      <c r="D2" s="4">
        <v>28.5</v>
      </c>
      <c r="G2" s="8"/>
      <c r="K2" s="21" t="s">
        <v>38</v>
      </c>
    </row>
    <row r="3" spans="1:13" x14ac:dyDescent="0.35">
      <c r="A3" t="s">
        <v>39</v>
      </c>
      <c r="D3" s="4">
        <v>500</v>
      </c>
      <c r="G3" s="5" t="s">
        <v>40</v>
      </c>
      <c r="K3" s="20">
        <v>109.5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  <c r="M4" s="31" t="s">
        <v>36</v>
      </c>
    </row>
    <row r="5" spans="1:13" x14ac:dyDescent="0.35">
      <c r="A5" t="s">
        <v>51</v>
      </c>
      <c r="B5" s="7">
        <v>166</v>
      </c>
      <c r="C5" s="7">
        <f t="shared" ref="C5:C17" si="0">IFERROR(VALUE(LEFT(D5,5)),)</f>
        <v>2800</v>
      </c>
      <c r="D5" s="7" t="s">
        <v>23</v>
      </c>
      <c r="E5" s="7">
        <v>1</v>
      </c>
      <c r="F5" s="14">
        <v>6.7000000000000004E-2</v>
      </c>
      <c r="G5" s="8" t="e">
        <f ca="1">(B5*C5*E5* (1+F5))/10000*(1+$F$18)*(1+$F$19)</f>
        <v>#REF!</v>
      </c>
      <c r="H5" s="7">
        <v>105.9</v>
      </c>
      <c r="I5">
        <f>H5/100*C5/11000*B5</f>
        <v>44.747563636363644</v>
      </c>
      <c r="J5" s="19">
        <f t="shared" ref="J5:J17" si="1">IFERROR(I5/$I$20,)</f>
        <v>0.46744767838456475</v>
      </c>
      <c r="K5" s="15">
        <f>J5*$K$3*(1+$F$18)</f>
        <v>51.185520783109837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14</v>
      </c>
      <c r="C8" s="7">
        <f t="shared" si="0"/>
        <v>1880</v>
      </c>
      <c r="D8" s="7" t="s">
        <v>21</v>
      </c>
      <c r="E8" s="7">
        <v>1</v>
      </c>
      <c r="F8" s="14">
        <v>0.17399999999999999</v>
      </c>
      <c r="G8" s="8" t="e">
        <f t="shared" ca="1" si="2"/>
        <v>#REF!</v>
      </c>
      <c r="H8" s="7">
        <v>118.3</v>
      </c>
      <c r="I8">
        <f t="shared" si="3"/>
        <v>2.8305963636363636</v>
      </c>
      <c r="J8" s="19">
        <f t="shared" si="1"/>
        <v>2.9569334978281604E-2</v>
      </c>
      <c r="K8" s="15">
        <f t="shared" si="4"/>
        <v>3.2378421801218358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>
        <v>156</v>
      </c>
      <c r="C10" s="7">
        <f t="shared" si="0"/>
        <v>2800</v>
      </c>
      <c r="D10" s="7" t="s">
        <v>23</v>
      </c>
      <c r="E10" s="7">
        <v>1</v>
      </c>
      <c r="F10" s="14">
        <v>4.5999999999999999E-2</v>
      </c>
      <c r="G10" s="8" t="e">
        <f t="shared" ca="1" si="2"/>
        <v>#REF!</v>
      </c>
      <c r="H10" s="7">
        <v>104.9</v>
      </c>
      <c r="I10">
        <f t="shared" si="3"/>
        <v>41.654836363636363</v>
      </c>
      <c r="J10" s="19">
        <f t="shared" si="1"/>
        <v>0.43514003823545572</v>
      </c>
      <c r="K10" s="15">
        <f t="shared" si="4"/>
        <v>47.647834186782404</v>
      </c>
    </row>
    <row r="11" spans="1:13" x14ac:dyDescent="0.35">
      <c r="A11" t="s">
        <v>56</v>
      </c>
      <c r="B11" s="7">
        <v>2</v>
      </c>
      <c r="C11" s="7">
        <f t="shared" si="0"/>
        <v>1100</v>
      </c>
      <c r="D11" s="7" t="s">
        <v>14</v>
      </c>
      <c r="E11" s="7">
        <v>1</v>
      </c>
      <c r="F11" s="14">
        <v>4.2000000000000003E-2</v>
      </c>
      <c r="G11" s="8" t="e">
        <f t="shared" ca="1" si="2"/>
        <v>#REF!</v>
      </c>
      <c r="H11" s="7">
        <v>105.3</v>
      </c>
      <c r="I11">
        <f t="shared" si="3"/>
        <v>0.21059999999999998</v>
      </c>
      <c r="J11" s="19">
        <f t="shared" si="1"/>
        <v>2.1999964482488483E-3</v>
      </c>
      <c r="K11" s="15">
        <f t="shared" si="4"/>
        <v>0.24089961108324889</v>
      </c>
    </row>
    <row r="12" spans="1:13" x14ac:dyDescent="0.35">
      <c r="A12" t="s">
        <v>56</v>
      </c>
      <c r="B12" s="7">
        <v>1</v>
      </c>
      <c r="C12" s="7">
        <f t="shared" si="0"/>
        <v>1100</v>
      </c>
      <c r="D12" s="7" t="s">
        <v>11</v>
      </c>
      <c r="E12" s="7">
        <v>1</v>
      </c>
      <c r="F12" s="14">
        <v>4.3999999999999997E-2</v>
      </c>
      <c r="G12" s="8" t="e">
        <f t="shared" ca="1" si="2"/>
        <v>#REF!</v>
      </c>
      <c r="H12" s="7">
        <v>105.4</v>
      </c>
      <c r="I12">
        <f t="shared" si="3"/>
        <v>0.10540000000000001</v>
      </c>
      <c r="J12" s="19">
        <f t="shared" si="1"/>
        <v>1.1010428568159006E-3</v>
      </c>
      <c r="K12" s="15">
        <f t="shared" si="4"/>
        <v>0.12056419282134111</v>
      </c>
    </row>
    <row r="13" spans="1:13" x14ac:dyDescent="0.35">
      <c r="A13" t="s">
        <v>56</v>
      </c>
      <c r="B13" s="7">
        <v>1</v>
      </c>
      <c r="C13" s="7">
        <f t="shared" si="0"/>
        <v>1100</v>
      </c>
      <c r="D13" s="7" t="s">
        <v>12</v>
      </c>
      <c r="E13" s="7">
        <v>1</v>
      </c>
      <c r="F13" s="14">
        <v>4.3999999999999997E-2</v>
      </c>
      <c r="G13" s="8" t="e">
        <f t="shared" ca="1" si="2"/>
        <v>#REF!</v>
      </c>
      <c r="H13" s="7">
        <v>105.4</v>
      </c>
      <c r="I13">
        <f t="shared" si="3"/>
        <v>0.10540000000000001</v>
      </c>
      <c r="J13" s="19">
        <f t="shared" si="1"/>
        <v>1.1010428568159006E-3</v>
      </c>
      <c r="K13" s="15">
        <f t="shared" si="4"/>
        <v>0.12056419282134111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940</v>
      </c>
      <c r="D15" s="7" t="s">
        <v>9</v>
      </c>
      <c r="E15" s="7">
        <v>1</v>
      </c>
      <c r="F15" s="14"/>
      <c r="G15" s="8" t="e">
        <f ca="1">B15*C15*E15*(1+F15)/10000*(1+$F$18)*(1+$F$19)</f>
        <v>#REF!</v>
      </c>
      <c r="H15" s="7">
        <v>441.1</v>
      </c>
      <c r="I15">
        <f t="shared" si="3"/>
        <v>0.37694</v>
      </c>
      <c r="J15" s="19">
        <f t="shared" si="1"/>
        <v>3.9376384672503368E-3</v>
      </c>
      <c r="K15" s="15">
        <f t="shared" si="4"/>
        <v>0.43117141216391186</v>
      </c>
    </row>
    <row r="16" spans="1:13" x14ac:dyDescent="0.35">
      <c r="A16" t="s">
        <v>59</v>
      </c>
      <c r="B16" s="7">
        <v>2</v>
      </c>
      <c r="C16" s="7">
        <f t="shared" si="0"/>
        <v>1400</v>
      </c>
      <c r="D16" s="12" t="s">
        <v>17</v>
      </c>
      <c r="E16" s="7">
        <v>1</v>
      </c>
      <c r="F16" s="14"/>
      <c r="G16" s="8" t="e">
        <f ca="1">(C16*E16*B16*$D$2/1000*$D$3)/10000*(1+$F$18)*(1+$F$19)</f>
        <v>#REF!</v>
      </c>
      <c r="H16" s="7">
        <v>4475.5</v>
      </c>
      <c r="I16">
        <f>H16/100*C16/11000*B16/2</f>
        <v>5.6960909090909091</v>
      </c>
      <c r="J16" s="19">
        <f t="shared" si="1"/>
        <v>5.9503227772566732E-2</v>
      </c>
      <c r="K16" s="15">
        <f t="shared" si="4"/>
        <v>6.515603441096057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342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95.727427272727297</v>
      </c>
      <c r="J20" s="15"/>
      <c r="K20" s="18">
        <f>SUM(K5:K17)</f>
        <v>109.5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7">_xlfn.UNIQUE(_xlfn._xlws.FILTER(D5:D15,D5:D15&lt;&gt;""))</f>
        <v>02800-PA6-WEISS</v>
      </c>
      <c r="K22" s="28">
        <f t="shared" ref="K22:K29" si="5">SUMIF($D$5:$D$17,D22,$K$5:$K$17)</f>
        <v>98.833354969892241</v>
      </c>
      <c r="M22" s="32">
        <f t="shared" ref="M22:M28" si="6">SUMIF($D$5:$D$15,D22,$B$5:$B$15)</f>
        <v>322</v>
      </c>
    </row>
    <row r="23" spans="1:13" x14ac:dyDescent="0.35">
      <c r="D23" t="str">
        <v>01880-PA6-WEISS</v>
      </c>
      <c r="K23" s="28">
        <f t="shared" si="5"/>
        <v>3.2378421801218358</v>
      </c>
      <c r="M23" s="32">
        <f t="shared" si="6"/>
        <v>14</v>
      </c>
    </row>
    <row r="24" spans="1:13" x14ac:dyDescent="0.35">
      <c r="D24" t="str">
        <v>01100-PES-ROT</v>
      </c>
      <c r="K24" s="28">
        <f t="shared" si="5"/>
        <v>0.24089961108324889</v>
      </c>
      <c r="M24" s="32">
        <f t="shared" si="6"/>
        <v>2</v>
      </c>
    </row>
    <row r="25" spans="1:13" x14ac:dyDescent="0.35">
      <c r="D25" t="str">
        <v>01100-PES-BLAU</v>
      </c>
      <c r="K25" s="28">
        <f t="shared" si="5"/>
        <v>0.12056419282134111</v>
      </c>
      <c r="M25" s="32">
        <f t="shared" si="6"/>
        <v>1</v>
      </c>
    </row>
    <row r="26" spans="1:13" x14ac:dyDescent="0.35">
      <c r="D26" t="str">
        <v>01100-PES-GRUEN</v>
      </c>
      <c r="K26" s="28">
        <f t="shared" si="5"/>
        <v>0.12056419282134111</v>
      </c>
      <c r="M26" s="32">
        <f t="shared" si="6"/>
        <v>1</v>
      </c>
    </row>
    <row r="27" spans="1:13" x14ac:dyDescent="0.35">
      <c r="D27" t="str">
        <v>00940-PA6-GELB</v>
      </c>
      <c r="K27" s="28">
        <f t="shared" si="5"/>
        <v>0.43117141216391186</v>
      </c>
      <c r="M27" s="32">
        <f t="shared" si="6"/>
        <v>1</v>
      </c>
    </row>
    <row r="28" spans="1:13" x14ac:dyDescent="0.35">
      <c r="K28" s="28">
        <f t="shared" si="5"/>
        <v>0</v>
      </c>
      <c r="M28" s="32">
        <f t="shared" si="6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17</v>
      </c>
      <c r="K30" s="15">
        <f>K16+K17</f>
        <v>6.515603441096057</v>
      </c>
      <c r="M30">
        <v>1</v>
      </c>
    </row>
    <row r="31" spans="1:13" x14ac:dyDescent="0.35">
      <c r="A31" t="s">
        <v>64</v>
      </c>
      <c r="D31" t="s">
        <v>23</v>
      </c>
      <c r="K31">
        <f>SUMIF(D5:D13,D31,K5:K13)</f>
        <v>98.833354969892241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27B6EA6-BA75-4835-9908-C7728BDBC7B9}">
          <x14:formula1>
            <xm:f>#REF!</xm:f>
          </x14:formula1>
          <xm:sqref>D5:D17 D29:D30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C97A9-661D-4861-86F0-570132459F3D}">
  <sheetPr codeName="Sheet23"/>
  <dimension ref="A1:M31"/>
  <sheetViews>
    <sheetView topLeftCell="A25" workbookViewId="0">
      <selection activeCell="D31" sqref="D3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3.81640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6869051-000-00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55.5</v>
      </c>
      <c r="G2" s="8"/>
      <c r="K2" s="21" t="s">
        <v>38</v>
      </c>
    </row>
    <row r="3" spans="1:13" x14ac:dyDescent="0.35">
      <c r="A3" t="s">
        <v>39</v>
      </c>
      <c r="D3" s="4">
        <v>500</v>
      </c>
      <c r="G3" s="5" t="s">
        <v>40</v>
      </c>
      <c r="K3" s="20">
        <v>164.1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250</v>
      </c>
      <c r="C5" s="7">
        <f t="shared" ref="C5:C17" si="0">IFERROR(VALUE(LEFT(D5,5)),)</f>
        <v>2800</v>
      </c>
      <c r="D5" s="7" t="s">
        <v>23</v>
      </c>
      <c r="E5" s="7">
        <v>1</v>
      </c>
      <c r="F5" s="14">
        <v>6.4000000000000001E-2</v>
      </c>
      <c r="G5" s="8" t="e">
        <f ca="1">(B5*C5*E5* (1+F5))/10000*(1+$F$18)*(1+$F$19)</f>
        <v>#REF!</v>
      </c>
      <c r="H5" s="7">
        <v>106.1</v>
      </c>
      <c r="I5">
        <f>H5/100*C5/11000*B5</f>
        <v>67.518181818181816</v>
      </c>
      <c r="J5" s="19">
        <f t="shared" ref="J5:J17" si="1">IFERROR(I5/$I$20,)</f>
        <v>0.47265404557115592</v>
      </c>
      <c r="K5" s="15">
        <f>J5*$K$3*(1+$F$18)</f>
        <v>77.562528878226686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21</v>
      </c>
      <c r="C8" s="7">
        <f t="shared" si="0"/>
        <v>1880</v>
      </c>
      <c r="D8" s="7" t="s">
        <v>21</v>
      </c>
      <c r="E8" s="7">
        <v>1</v>
      </c>
      <c r="F8" s="14">
        <v>0.23899999999999999</v>
      </c>
      <c r="G8" s="8" t="e">
        <f t="shared" ca="1" si="2"/>
        <v>#REF!</v>
      </c>
      <c r="H8" s="7">
        <v>124.5</v>
      </c>
      <c r="I8">
        <f t="shared" si="3"/>
        <v>4.4684181818181825</v>
      </c>
      <c r="J8" s="19">
        <f t="shared" si="1"/>
        <v>3.1280699125273731E-2</v>
      </c>
      <c r="K8" s="15">
        <f t="shared" si="4"/>
        <v>5.1331627264574191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>
        <v>240</v>
      </c>
      <c r="C10" s="7">
        <f t="shared" si="0"/>
        <v>2800</v>
      </c>
      <c r="D10" s="7" t="s">
        <v>23</v>
      </c>
      <c r="E10" s="7">
        <v>1</v>
      </c>
      <c r="F10" s="14">
        <v>0.04</v>
      </c>
      <c r="G10" s="8" t="e">
        <f t="shared" ca="1" si="2"/>
        <v>#REF!</v>
      </c>
      <c r="H10" s="7">
        <v>102.5</v>
      </c>
      <c r="I10">
        <f t="shared" si="3"/>
        <v>62.61818181818181</v>
      </c>
      <c r="J10" s="19">
        <f t="shared" si="1"/>
        <v>0.43835210258437074</v>
      </c>
      <c r="K10" s="15">
        <f t="shared" si="4"/>
        <v>71.933580034095229</v>
      </c>
    </row>
    <row r="11" spans="1:13" x14ac:dyDescent="0.35">
      <c r="A11" t="s">
        <v>56</v>
      </c>
      <c r="B11" s="7">
        <v>3</v>
      </c>
      <c r="C11" s="7">
        <f t="shared" si="0"/>
        <v>1100</v>
      </c>
      <c r="D11" s="7" t="s">
        <v>14</v>
      </c>
      <c r="E11" s="7">
        <v>1</v>
      </c>
      <c r="F11" s="14">
        <v>0.04</v>
      </c>
      <c r="G11" s="8" t="e">
        <f t="shared" ca="1" si="2"/>
        <v>#REF!</v>
      </c>
      <c r="H11" s="7">
        <v>104.2</v>
      </c>
      <c r="I11">
        <f t="shared" si="3"/>
        <v>0.31259999999999999</v>
      </c>
      <c r="J11" s="19">
        <f t="shared" si="1"/>
        <v>2.1883239546263318E-3</v>
      </c>
      <c r="K11" s="15">
        <f t="shared" si="4"/>
        <v>0.35910396095418101</v>
      </c>
    </row>
    <row r="12" spans="1:13" x14ac:dyDescent="0.35">
      <c r="A12" t="s">
        <v>56</v>
      </c>
      <c r="B12" s="7">
        <v>1</v>
      </c>
      <c r="C12" s="7">
        <f t="shared" si="0"/>
        <v>1100</v>
      </c>
      <c r="D12" s="7" t="s">
        <v>11</v>
      </c>
      <c r="E12" s="7">
        <v>1</v>
      </c>
      <c r="F12" s="14">
        <v>0.04</v>
      </c>
      <c r="G12" s="8" t="e">
        <f t="shared" ca="1" si="2"/>
        <v>#REF!</v>
      </c>
      <c r="H12" s="7">
        <v>104.2</v>
      </c>
      <c r="I12">
        <f t="shared" si="3"/>
        <v>0.1042</v>
      </c>
      <c r="J12" s="19">
        <f t="shared" si="1"/>
        <v>7.2944131820877731E-4</v>
      </c>
      <c r="K12" s="15">
        <f t="shared" si="4"/>
        <v>0.11970132031806036</v>
      </c>
    </row>
    <row r="13" spans="1:13" x14ac:dyDescent="0.35">
      <c r="A13" t="s">
        <v>56</v>
      </c>
      <c r="B13" s="7">
        <v>1</v>
      </c>
      <c r="C13" s="7">
        <f t="shared" si="0"/>
        <v>1100</v>
      </c>
      <c r="D13" s="7" t="s">
        <v>12</v>
      </c>
      <c r="E13" s="7">
        <v>1</v>
      </c>
      <c r="F13" s="14">
        <v>0.04</v>
      </c>
      <c r="G13" s="8" t="e">
        <f t="shared" ca="1" si="2"/>
        <v>#REF!</v>
      </c>
      <c r="H13" s="7">
        <v>104.2</v>
      </c>
      <c r="I13">
        <f t="shared" si="3"/>
        <v>0.1042</v>
      </c>
      <c r="J13" s="19">
        <f t="shared" si="1"/>
        <v>7.2944131820877731E-4</v>
      </c>
      <c r="K13" s="15">
        <f t="shared" si="4"/>
        <v>0.11970132031806036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940</v>
      </c>
      <c r="D15" s="7" t="s">
        <v>9</v>
      </c>
      <c r="E15" s="7">
        <v>1</v>
      </c>
      <c r="F15" s="14"/>
      <c r="G15" s="8" t="e">
        <f ca="1">B15*C15*E15*(1+F15)/10000*(1+$F$18)*(1+$F$19)</f>
        <v>#REF!</v>
      </c>
      <c r="H15" s="7">
        <v>444.4</v>
      </c>
      <c r="I15">
        <f t="shared" si="3"/>
        <v>0.37975999999999999</v>
      </c>
      <c r="J15" s="19">
        <f t="shared" si="1"/>
        <v>2.6584705854411253E-3</v>
      </c>
      <c r="K15" s="15">
        <f t="shared" si="4"/>
        <v>0.43625502307088865</v>
      </c>
    </row>
    <row r="16" spans="1:13" x14ac:dyDescent="0.35">
      <c r="A16" t="s">
        <v>59</v>
      </c>
      <c r="B16" s="7">
        <v>2</v>
      </c>
      <c r="C16" s="7">
        <f t="shared" si="0"/>
        <v>1400</v>
      </c>
      <c r="D16" s="12" t="s">
        <v>17</v>
      </c>
      <c r="E16" s="7">
        <v>1</v>
      </c>
      <c r="F16" s="14"/>
      <c r="G16" s="8" t="e">
        <f ca="1">(C16*E16*B16*$D$2/1000*$D$3)/10000*(1+$F$18)*(1+$F$19)</f>
        <v>#REF!</v>
      </c>
      <c r="H16" s="7">
        <v>5769.9</v>
      </c>
      <c r="I16">
        <f>H16/100*C16/11000*B16/2</f>
        <v>7.3435090909090901</v>
      </c>
      <c r="J16" s="19">
        <f t="shared" si="1"/>
        <v>5.1407475542714652E-2</v>
      </c>
      <c r="K16" s="15">
        <f t="shared" si="4"/>
        <v>8.4359667365594735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518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142.84905090909089</v>
      </c>
      <c r="J20" s="15"/>
      <c r="K20" s="18">
        <f>SUM(K5:K17)</f>
        <v>164.09999999999997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7">_xlfn.UNIQUE(_xlfn._xlws.FILTER(D5:D15,D5:D15&lt;&gt;""))</f>
        <v>02800-PA6-WEISS</v>
      </c>
      <c r="K22" s="28">
        <f t="shared" ref="K22:K29" si="5">SUMIF($D$5:$D$17,D22,$K$5:$K$17)</f>
        <v>149.49610891232192</v>
      </c>
      <c r="M22" s="32">
        <f t="shared" ref="M22:M28" si="6">SUMIF($D$5:$D$15,D22,$B$5:$B$15)</f>
        <v>490</v>
      </c>
    </row>
    <row r="23" spans="1:13" x14ac:dyDescent="0.35">
      <c r="D23" t="str">
        <v>01880-PA6-WEISS</v>
      </c>
      <c r="K23" s="28">
        <f t="shared" si="5"/>
        <v>5.1331627264574191</v>
      </c>
      <c r="M23" s="32">
        <f t="shared" si="6"/>
        <v>21</v>
      </c>
    </row>
    <row r="24" spans="1:13" x14ac:dyDescent="0.35">
      <c r="D24" t="str">
        <v>01100-PES-ROT</v>
      </c>
      <c r="K24" s="28">
        <f t="shared" si="5"/>
        <v>0.35910396095418101</v>
      </c>
      <c r="M24" s="32">
        <f t="shared" si="6"/>
        <v>3</v>
      </c>
    </row>
    <row r="25" spans="1:13" x14ac:dyDescent="0.35">
      <c r="D25" t="str">
        <v>01100-PES-BLAU</v>
      </c>
      <c r="K25" s="28">
        <f t="shared" si="5"/>
        <v>0.11970132031806036</v>
      </c>
      <c r="M25" s="32">
        <f t="shared" si="6"/>
        <v>1</v>
      </c>
    </row>
    <row r="26" spans="1:13" x14ac:dyDescent="0.35">
      <c r="D26" t="str">
        <v>01100-PES-GRUEN</v>
      </c>
      <c r="K26" s="28">
        <f t="shared" si="5"/>
        <v>0.11970132031806036</v>
      </c>
      <c r="M26" s="32">
        <f t="shared" si="6"/>
        <v>1</v>
      </c>
    </row>
    <row r="27" spans="1:13" x14ac:dyDescent="0.35">
      <c r="D27" t="str">
        <v>00940-PA6-GELB</v>
      </c>
      <c r="K27" s="28">
        <f t="shared" si="5"/>
        <v>0.43625502307088865</v>
      </c>
      <c r="M27" s="32">
        <f t="shared" si="6"/>
        <v>1</v>
      </c>
    </row>
    <row r="28" spans="1:13" x14ac:dyDescent="0.35">
      <c r="K28" s="28">
        <f t="shared" si="5"/>
        <v>0</v>
      </c>
      <c r="M28" s="32">
        <f t="shared" si="6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17</v>
      </c>
      <c r="K30" s="15">
        <f>K16+K17</f>
        <v>8.4359667365594735</v>
      </c>
      <c r="M30">
        <v>1</v>
      </c>
    </row>
    <row r="31" spans="1:13" x14ac:dyDescent="0.35">
      <c r="A31" t="s">
        <v>64</v>
      </c>
      <c r="D31" t="s">
        <v>23</v>
      </c>
      <c r="K31">
        <f>SUMIF(D5:D13,D31,K5:K13)</f>
        <v>149.49610891232192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F97C72-37A9-42CF-9175-7DD6945E31D8}">
          <x14:formula1>
            <xm:f>#REF!</xm:f>
          </x14:formula1>
          <xm:sqref>D5:D17 D29:D30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C466-2717-4018-BF1D-056BAB193CAF}">
  <sheetPr codeName="Sheet24"/>
  <dimension ref="A1:M31"/>
  <sheetViews>
    <sheetView topLeftCell="G16" workbookViewId="0">
      <selection activeCell="M22" sqref="M22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5.179687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6869076-000-00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81.5</v>
      </c>
      <c r="G2" s="8"/>
      <c r="K2" s="21" t="s">
        <v>38</v>
      </c>
    </row>
    <row r="3" spans="1:13" x14ac:dyDescent="0.35">
      <c r="A3" t="s">
        <v>39</v>
      </c>
      <c r="D3" s="4">
        <v>500</v>
      </c>
      <c r="G3" s="5" t="s">
        <v>40</v>
      </c>
      <c r="K3" s="20">
        <v>229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346</v>
      </c>
      <c r="C5" s="7">
        <f t="shared" ref="C5:C17" si="0">IFERROR(VALUE(LEFT(D5,5)),)</f>
        <v>2800</v>
      </c>
      <c r="D5" s="7" t="s">
        <v>23</v>
      </c>
      <c r="E5" s="7">
        <v>1</v>
      </c>
      <c r="F5" s="14">
        <v>0.04</v>
      </c>
      <c r="G5" s="8" t="e">
        <f ca="1">(B5*C5*E5* (1+F5))/10000*(1+$F$18)*(1+$F$19)</f>
        <v>#REF!</v>
      </c>
      <c r="H5" s="7">
        <v>104.8</v>
      </c>
      <c r="I5">
        <f>H5/100*C5/11000*B5</f>
        <v>92.300218181818181</v>
      </c>
      <c r="J5" s="19">
        <f t="shared" ref="J5:J17" si="1">IFERROR(I5/$I$20,)</f>
        <v>0.46577258970617585</v>
      </c>
      <c r="K5" s="15">
        <f>J5*$K$3*(1+$F$18)</f>
        <v>106.66192304271426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29</v>
      </c>
      <c r="C8" s="7">
        <f t="shared" si="0"/>
        <v>1880</v>
      </c>
      <c r="D8" s="7" t="s">
        <v>21</v>
      </c>
      <c r="E8" s="7">
        <v>1</v>
      </c>
      <c r="F8" s="14">
        <v>0.21</v>
      </c>
      <c r="G8" s="8" t="e">
        <f t="shared" ca="1" si="2"/>
        <v>#REF!</v>
      </c>
      <c r="H8" s="7">
        <v>123.5</v>
      </c>
      <c r="I8">
        <f t="shared" si="3"/>
        <v>6.1211090909090915</v>
      </c>
      <c r="J8" s="19">
        <f t="shared" si="1"/>
        <v>3.0888820084158351E-2</v>
      </c>
      <c r="K8" s="15">
        <f t="shared" si="4"/>
        <v>7.0735397992722628</v>
      </c>
    </row>
    <row r="9" spans="1:13" x14ac:dyDescent="0.35">
      <c r="A9" t="s">
        <v>55</v>
      </c>
      <c r="B9" s="7">
        <v>336</v>
      </c>
      <c r="C9" s="7">
        <f t="shared" si="0"/>
        <v>2800</v>
      </c>
      <c r="D9" s="7" t="s">
        <v>23</v>
      </c>
      <c r="E9" s="7"/>
      <c r="F9" s="14">
        <v>3.2000000000000001E-2</v>
      </c>
      <c r="G9" s="8" t="e">
        <f t="shared" ca="1" si="2"/>
        <v>#REF!</v>
      </c>
      <c r="H9" s="7">
        <v>103</v>
      </c>
      <c r="I9">
        <f t="shared" si="3"/>
        <v>88.093090909090904</v>
      </c>
      <c r="J9" s="19">
        <f t="shared" si="1"/>
        <v>0.4445422545710887</v>
      </c>
      <c r="K9" s="15">
        <f t="shared" si="4"/>
        <v>101.80017629677931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>
        <v>1</v>
      </c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>
        <v>4</v>
      </c>
      <c r="C11" s="7">
        <f t="shared" si="0"/>
        <v>1100</v>
      </c>
      <c r="D11" s="7" t="s">
        <v>14</v>
      </c>
      <c r="E11" s="7">
        <v>1</v>
      </c>
      <c r="F11" s="14">
        <v>3.2000000000000001E-2</v>
      </c>
      <c r="G11" s="8" t="e">
        <f t="shared" ca="1" si="2"/>
        <v>#REF!</v>
      </c>
      <c r="H11" s="7">
        <v>103.5</v>
      </c>
      <c r="I11">
        <f t="shared" si="3"/>
        <v>0.41399999999999998</v>
      </c>
      <c r="J11" s="19">
        <f t="shared" si="1"/>
        <v>2.0891592234214404E-3</v>
      </c>
      <c r="K11" s="15">
        <f t="shared" si="4"/>
        <v>0.47841746216350983</v>
      </c>
    </row>
    <row r="12" spans="1:13" x14ac:dyDescent="0.35">
      <c r="A12" t="s">
        <v>56</v>
      </c>
      <c r="B12" s="7">
        <v>1</v>
      </c>
      <c r="C12" s="7">
        <f t="shared" si="0"/>
        <v>1100</v>
      </c>
      <c r="D12" s="7" t="s">
        <v>11</v>
      </c>
      <c r="E12" s="7">
        <v>1</v>
      </c>
      <c r="F12" s="14">
        <v>3.2000000000000001E-2</v>
      </c>
      <c r="G12" s="8" t="e">
        <f t="shared" ca="1" si="2"/>
        <v>#REF!</v>
      </c>
      <c r="H12" s="7">
        <v>103.5</v>
      </c>
      <c r="I12">
        <f t="shared" si="3"/>
        <v>0.10349999999999999</v>
      </c>
      <c r="J12" s="19">
        <f t="shared" si="1"/>
        <v>5.2228980585536009E-4</v>
      </c>
      <c r="K12" s="15">
        <f t="shared" si="4"/>
        <v>0.11960436554087746</v>
      </c>
    </row>
    <row r="13" spans="1:13" x14ac:dyDescent="0.35">
      <c r="A13" t="s">
        <v>56</v>
      </c>
      <c r="B13" s="7">
        <v>1</v>
      </c>
      <c r="C13" s="7">
        <f t="shared" si="0"/>
        <v>1100</v>
      </c>
      <c r="D13" s="7" t="s">
        <v>12</v>
      </c>
      <c r="E13" s="7">
        <v>1</v>
      </c>
      <c r="F13" s="14">
        <v>3.2000000000000001E-2</v>
      </c>
      <c r="G13" s="8" t="e">
        <f t="shared" ca="1" si="2"/>
        <v>#REF!</v>
      </c>
      <c r="H13" s="7">
        <v>103.5</v>
      </c>
      <c r="I13">
        <f t="shared" si="3"/>
        <v>0.10349999999999999</v>
      </c>
      <c r="J13" s="19">
        <f t="shared" si="1"/>
        <v>5.2228980585536009E-4</v>
      </c>
      <c r="K13" s="15">
        <f t="shared" si="4"/>
        <v>0.11960436554087746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940</v>
      </c>
      <c r="D15" s="7" t="s">
        <v>9</v>
      </c>
      <c r="E15" s="7">
        <v>1</v>
      </c>
      <c r="F15" s="14"/>
      <c r="G15" s="8" t="e">
        <f ca="1">B15*C15*E15*(1+F15)/10000*(1+$F$18)*(1+$F$19)</f>
        <v>#REF!</v>
      </c>
      <c r="H15" s="7">
        <v>454.2</v>
      </c>
      <c r="I15">
        <f t="shared" si="3"/>
        <v>0.3881345454545454</v>
      </c>
      <c r="J15" s="19">
        <f t="shared" si="1"/>
        <v>1.9586349409779031E-3</v>
      </c>
      <c r="K15" s="15">
        <f t="shared" si="4"/>
        <v>0.44852740148393982</v>
      </c>
    </row>
    <row r="16" spans="1:13" x14ac:dyDescent="0.35">
      <c r="A16" t="s">
        <v>59</v>
      </c>
      <c r="B16" s="7">
        <v>2</v>
      </c>
      <c r="C16" s="7">
        <f t="shared" si="0"/>
        <v>1400</v>
      </c>
      <c r="D16" s="12" t="s">
        <v>17</v>
      </c>
      <c r="E16" s="7">
        <v>1</v>
      </c>
      <c r="F16" s="14"/>
      <c r="G16" s="8" t="e">
        <f ca="1">(C16*E16*B16*$D$2/1000*$D$3)/10000*(1+$F$18)*(1+$F$19)</f>
        <v>#REF!</v>
      </c>
      <c r="H16" s="7">
        <v>8361.7999999999993</v>
      </c>
      <c r="I16">
        <f>H16/100*C16/11000*B16/2</f>
        <v>10.642290909090908</v>
      </c>
      <c r="J16" s="19">
        <f t="shared" si="1"/>
        <v>5.3703961862467196E-2</v>
      </c>
      <c r="K16" s="15">
        <f t="shared" si="4"/>
        <v>12.298207266504988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719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198.1658436363636</v>
      </c>
      <c r="J20" s="15"/>
      <c r="K20" s="18">
        <f>SUM(K5:K17)</f>
        <v>229.00000000000006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7">_xlfn.UNIQUE(_xlfn._xlws.FILTER(D5:D15,D5:D15&lt;&gt;""))</f>
        <v>02800-PA6-WEISS</v>
      </c>
      <c r="K22" s="28">
        <f t="shared" ref="K22:K29" si="5">SUMIF($D$5:$D$17,D22,$K$5:$K$17)</f>
        <v>208.46209933949359</v>
      </c>
      <c r="M22" s="32">
        <f t="shared" ref="M22:M28" si="6">SUMIF($D$5:$D$15,D22,$B$5:$B$15)</f>
        <v>682</v>
      </c>
    </row>
    <row r="23" spans="1:13" x14ac:dyDescent="0.35">
      <c r="D23" t="str">
        <v>01880-PA6-WEISS</v>
      </c>
      <c r="K23" s="28">
        <f t="shared" si="5"/>
        <v>7.0735397992722628</v>
      </c>
      <c r="M23" s="32">
        <f t="shared" si="6"/>
        <v>29</v>
      </c>
    </row>
    <row r="24" spans="1:13" x14ac:dyDescent="0.35">
      <c r="D24" t="str">
        <v>01100-PES-ROT</v>
      </c>
      <c r="K24" s="28">
        <f t="shared" si="5"/>
        <v>0.47841746216350983</v>
      </c>
      <c r="M24" s="32">
        <f t="shared" si="6"/>
        <v>4</v>
      </c>
    </row>
    <row r="25" spans="1:13" x14ac:dyDescent="0.35">
      <c r="D25" t="str">
        <v>01100-PES-BLAU</v>
      </c>
      <c r="K25" s="28">
        <f t="shared" si="5"/>
        <v>0.11960436554087746</v>
      </c>
      <c r="M25" s="32">
        <f t="shared" si="6"/>
        <v>1</v>
      </c>
    </row>
    <row r="26" spans="1:13" x14ac:dyDescent="0.35">
      <c r="D26" t="str">
        <v>01100-PES-GRUEN</v>
      </c>
      <c r="K26" s="28">
        <f t="shared" si="5"/>
        <v>0.11960436554087746</v>
      </c>
      <c r="M26" s="32">
        <f t="shared" si="6"/>
        <v>1</v>
      </c>
    </row>
    <row r="27" spans="1:13" x14ac:dyDescent="0.35">
      <c r="D27" t="str">
        <v>00940-PA6-GELB</v>
      </c>
      <c r="K27" s="28">
        <f t="shared" si="5"/>
        <v>0.44852740148393982</v>
      </c>
      <c r="M27" s="32">
        <f t="shared" si="6"/>
        <v>1</v>
      </c>
    </row>
    <row r="28" spans="1:13" x14ac:dyDescent="0.35">
      <c r="K28" s="28">
        <f t="shared" si="5"/>
        <v>0</v>
      </c>
      <c r="M28" s="32">
        <f t="shared" si="6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17</v>
      </c>
      <c r="K30" s="15">
        <f>K16+K17</f>
        <v>12.298207266504988</v>
      </c>
      <c r="M30">
        <v>1</v>
      </c>
    </row>
    <row r="31" spans="1:13" x14ac:dyDescent="0.35">
      <c r="A31" t="s">
        <v>64</v>
      </c>
      <c r="D31" t="s">
        <v>23</v>
      </c>
      <c r="K31">
        <f>SUMIF(D5:D13,D31,K5:K13)</f>
        <v>208.46209933949359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994D28C-F7A6-4707-A41C-6F5F853B2EC0}">
          <x14:formula1>
            <xm:f>#REF!</xm:f>
          </x14:formula1>
          <xm:sqref>D5:D17 D29:D30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6E17-F658-4159-A1CA-2E2A51C74D71}">
  <sheetPr codeName="Sheet25"/>
  <dimension ref="A1:M31"/>
  <sheetViews>
    <sheetView workbookViewId="0">
      <selection activeCell="D5" sqref="D5:D17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4.81640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6869102-000-00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109</v>
      </c>
      <c r="G2" s="8"/>
      <c r="K2" s="21" t="s">
        <v>38</v>
      </c>
    </row>
    <row r="3" spans="1:13" x14ac:dyDescent="0.35">
      <c r="A3" t="s">
        <v>39</v>
      </c>
      <c r="D3" s="4">
        <v>500</v>
      </c>
      <c r="G3" s="5" t="s">
        <v>40</v>
      </c>
      <c r="K3" s="20">
        <v>307.3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12">
        <v>466</v>
      </c>
      <c r="C5" s="7">
        <f t="shared" ref="C5:C17" si="0">IFERROR(VALUE(LEFT(D5,5)),)</f>
        <v>2800</v>
      </c>
      <c r="D5" s="7" t="s">
        <v>23</v>
      </c>
      <c r="E5" s="7">
        <v>1</v>
      </c>
      <c r="F5" s="14">
        <v>6.4000000000000001E-2</v>
      </c>
      <c r="G5" s="8" t="e">
        <f ca="1">(B5*C5*E5* (1+F5))/10000*(1+$F$18)*(1+$F$19)</f>
        <v>#REF!</v>
      </c>
      <c r="H5" s="7">
        <v>105</v>
      </c>
      <c r="I5">
        <f>H5/100*C5/10000*B5</f>
        <v>137.00399999999999</v>
      </c>
      <c r="J5" s="19">
        <f t="shared" ref="J5:J17" si="1">IFERROR(I5/$I$20,)</f>
        <v>0.4882348206281204</v>
      </c>
      <c r="K5" s="15">
        <f>J5*$K$3*(1+$F$18)</f>
        <v>150.0345603790214</v>
      </c>
    </row>
    <row r="6" spans="1:13" x14ac:dyDescent="0.35">
      <c r="A6" t="s">
        <v>52</v>
      </c>
      <c r="B6" s="12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12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12">
        <v>39</v>
      </c>
      <c r="C8" s="7">
        <f t="shared" si="0"/>
        <v>1880</v>
      </c>
      <c r="D8" s="7" t="s">
        <v>21</v>
      </c>
      <c r="E8" s="7">
        <v>1</v>
      </c>
      <c r="F8" s="14">
        <v>0.23899999999999999</v>
      </c>
      <c r="G8" s="8" t="e">
        <f t="shared" ca="1" si="2"/>
        <v>#REF!</v>
      </c>
      <c r="H8" s="7">
        <v>125</v>
      </c>
      <c r="I8">
        <f t="shared" si="3"/>
        <v>8.331818181818182</v>
      </c>
      <c r="J8" s="19">
        <f t="shared" si="1"/>
        <v>2.9691715245584893E-2</v>
      </c>
      <c r="K8" s="15">
        <f t="shared" si="4"/>
        <v>9.1242640949682379</v>
      </c>
    </row>
    <row r="9" spans="1:13" x14ac:dyDescent="0.35">
      <c r="A9" t="s">
        <v>55</v>
      </c>
      <c r="B9" s="12">
        <v>456</v>
      </c>
      <c r="C9" s="7">
        <f t="shared" si="0"/>
        <v>2800</v>
      </c>
      <c r="D9" s="7" t="s">
        <v>23</v>
      </c>
      <c r="E9" s="7"/>
      <c r="F9" s="14">
        <v>0.04</v>
      </c>
      <c r="G9" s="8" t="e">
        <f t="shared" ca="1" si="2"/>
        <v>#REF!</v>
      </c>
      <c r="H9" s="7">
        <v>103.6</v>
      </c>
      <c r="I9">
        <f t="shared" si="3"/>
        <v>120.25134545454547</v>
      </c>
      <c r="J9" s="19">
        <f t="shared" si="1"/>
        <v>0.4285341601580257</v>
      </c>
      <c r="K9" s="15">
        <f t="shared" si="4"/>
        <v>131.68854741656131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>
        <v>1</v>
      </c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>
        <v>5</v>
      </c>
      <c r="C11" s="7">
        <f t="shared" si="0"/>
        <v>1100</v>
      </c>
      <c r="D11" s="7" t="s">
        <v>14</v>
      </c>
      <c r="E11" s="7">
        <v>1</v>
      </c>
      <c r="F11" s="14">
        <v>0.04</v>
      </c>
      <c r="G11" s="8" t="e">
        <f t="shared" ca="1" si="2"/>
        <v>#REF!</v>
      </c>
      <c r="H11" s="7">
        <v>103.5</v>
      </c>
      <c r="I11">
        <f t="shared" si="3"/>
        <v>0.51749999999999996</v>
      </c>
      <c r="J11" s="19">
        <f t="shared" si="1"/>
        <v>1.8441908241733987E-3</v>
      </c>
      <c r="K11" s="15">
        <f t="shared" si="4"/>
        <v>0.56671984026848543</v>
      </c>
    </row>
    <row r="12" spans="1:13" x14ac:dyDescent="0.35">
      <c r="A12" t="s">
        <v>56</v>
      </c>
      <c r="B12" s="7">
        <v>1</v>
      </c>
      <c r="C12" s="7">
        <f t="shared" si="0"/>
        <v>1100</v>
      </c>
      <c r="D12" s="7" t="s">
        <v>11</v>
      </c>
      <c r="E12" s="7">
        <v>1</v>
      </c>
      <c r="F12" s="14">
        <v>0.04</v>
      </c>
      <c r="G12" s="8" t="e">
        <f t="shared" ca="1" si="2"/>
        <v>#REF!</v>
      </c>
      <c r="H12" s="7">
        <v>103.5</v>
      </c>
      <c r="I12">
        <f t="shared" si="3"/>
        <v>0.10349999999999999</v>
      </c>
      <c r="J12" s="19">
        <f t="shared" si="1"/>
        <v>3.6883816483467973E-4</v>
      </c>
      <c r="K12" s="15">
        <f t="shared" si="4"/>
        <v>0.11334396805369708</v>
      </c>
    </row>
    <row r="13" spans="1:13" x14ac:dyDescent="0.35">
      <c r="A13" t="s">
        <v>56</v>
      </c>
      <c r="B13" s="7">
        <v>1</v>
      </c>
      <c r="C13" s="7">
        <f t="shared" si="0"/>
        <v>1100</v>
      </c>
      <c r="D13" s="7" t="s">
        <v>12</v>
      </c>
      <c r="E13" s="7">
        <v>1</v>
      </c>
      <c r="F13" s="14">
        <v>0.04</v>
      </c>
      <c r="G13" s="8" t="e">
        <f t="shared" ca="1" si="2"/>
        <v>#REF!</v>
      </c>
      <c r="H13" s="7">
        <v>103.5</v>
      </c>
      <c r="I13">
        <f t="shared" si="3"/>
        <v>0.10349999999999999</v>
      </c>
      <c r="J13" s="19">
        <f t="shared" si="1"/>
        <v>3.6883816483467973E-4</v>
      </c>
      <c r="K13" s="15">
        <f t="shared" si="4"/>
        <v>0.11334396805369708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940</v>
      </c>
      <c r="D15" s="7" t="s">
        <v>9</v>
      </c>
      <c r="E15" s="7">
        <v>1</v>
      </c>
      <c r="F15" s="14"/>
      <c r="G15" s="8" t="e">
        <f ca="1">B15*C15*E15*(1+F15)/10000*(1+$F$18)*(1+$F$19)</f>
        <v>#REF!</v>
      </c>
      <c r="H15" s="7">
        <v>453.8</v>
      </c>
      <c r="I15">
        <f t="shared" si="3"/>
        <v>0.38779272727272729</v>
      </c>
      <c r="J15" s="19">
        <f t="shared" si="1"/>
        <v>1.3819590131739924E-3</v>
      </c>
      <c r="K15" s="15">
        <f t="shared" si="4"/>
        <v>0.42467600474836786</v>
      </c>
    </row>
    <row r="16" spans="1:13" x14ac:dyDescent="0.35">
      <c r="A16" t="s">
        <v>59</v>
      </c>
      <c r="B16" s="7">
        <v>2</v>
      </c>
      <c r="C16" s="7">
        <f t="shared" si="0"/>
        <v>1400</v>
      </c>
      <c r="D16" s="12" t="s">
        <v>17</v>
      </c>
      <c r="E16" s="7">
        <v>1</v>
      </c>
      <c r="F16" s="14"/>
      <c r="G16" s="8" t="e">
        <f ca="1">(C16*E16*B16*$D$2/1000*$D$3)/10000*(1+$F$18)*(1+$F$19)</f>
        <v>#REF!</v>
      </c>
      <c r="H16" s="7">
        <v>10930.4</v>
      </c>
      <c r="I16">
        <f>H16/100*C16/11000*B16/2</f>
        <v>13.911418181818183</v>
      </c>
      <c r="J16" s="19">
        <f t="shared" si="1"/>
        <v>4.9575477801252328E-2</v>
      </c>
      <c r="K16" s="15">
        <f t="shared" si="4"/>
        <v>15.234544328324841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970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280.61087454545452</v>
      </c>
      <c r="J20" s="15"/>
      <c r="K20" s="18">
        <f>SUM(K5:K17)</f>
        <v>307.3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7">_xlfn.UNIQUE(_xlfn._xlws.FILTER(D5:D15,D5:D15&lt;&gt;""))</f>
        <v>02800-PA6-WEISS</v>
      </c>
      <c r="K22" s="28">
        <f t="shared" ref="K22:K29" si="5">SUMIF($D$5:$D$17,D22,$K$5:$K$17)</f>
        <v>281.72310779558268</v>
      </c>
      <c r="M22" s="32">
        <f t="shared" ref="M22:M28" si="6">SUMIF($D$5:$D$15,D22,$B$5:$B$15)</f>
        <v>922</v>
      </c>
    </row>
    <row r="23" spans="1:13" x14ac:dyDescent="0.35">
      <c r="D23" t="str">
        <v>01880-PA6-WEISS</v>
      </c>
      <c r="K23" s="28">
        <f t="shared" si="5"/>
        <v>9.1242640949682379</v>
      </c>
      <c r="M23" s="32">
        <f t="shared" si="6"/>
        <v>39</v>
      </c>
    </row>
    <row r="24" spans="1:13" x14ac:dyDescent="0.35">
      <c r="D24" t="str">
        <v>01100-PES-ROT</v>
      </c>
      <c r="K24" s="28">
        <f t="shared" si="5"/>
        <v>0.56671984026848543</v>
      </c>
      <c r="M24" s="32">
        <f t="shared" si="6"/>
        <v>5</v>
      </c>
    </row>
    <row r="25" spans="1:13" x14ac:dyDescent="0.35">
      <c r="D25" t="str">
        <v>01100-PES-BLAU</v>
      </c>
      <c r="K25" s="28">
        <f t="shared" si="5"/>
        <v>0.11334396805369708</v>
      </c>
      <c r="M25" s="32">
        <f t="shared" si="6"/>
        <v>1</v>
      </c>
    </row>
    <row r="26" spans="1:13" x14ac:dyDescent="0.35">
      <c r="D26" t="str">
        <v>01100-PES-GRUEN</v>
      </c>
      <c r="K26" s="28">
        <f t="shared" si="5"/>
        <v>0.11334396805369708</v>
      </c>
      <c r="M26" s="32">
        <f t="shared" si="6"/>
        <v>1</v>
      </c>
    </row>
    <row r="27" spans="1:13" x14ac:dyDescent="0.35">
      <c r="D27" t="str">
        <v>00940-PA6-GELB</v>
      </c>
      <c r="K27" s="28">
        <f t="shared" si="5"/>
        <v>0.42467600474836786</v>
      </c>
      <c r="M27" s="32">
        <f t="shared" si="6"/>
        <v>1</v>
      </c>
    </row>
    <row r="28" spans="1:13" x14ac:dyDescent="0.35">
      <c r="K28" s="28">
        <f t="shared" si="5"/>
        <v>0</v>
      </c>
      <c r="M28" s="32">
        <f t="shared" si="6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17</v>
      </c>
      <c r="K30" s="15">
        <f>K16+K17</f>
        <v>15.234544328324841</v>
      </c>
      <c r="M30">
        <v>1</v>
      </c>
    </row>
    <row r="31" spans="1:13" x14ac:dyDescent="0.35">
      <c r="A31" t="s">
        <v>64</v>
      </c>
      <c r="D31" t="s">
        <v>23</v>
      </c>
      <c r="K31">
        <f>SUMIF(D5:D13,D31,K5:K13)</f>
        <v>281.72310779558268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77280-24B0-4D84-8643-CE3EC9482FD2}">
          <x14:formula1>
            <xm:f>#REF!</xm:f>
          </x14:formula1>
          <xm:sqref>D5:D17 D29:D30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9D02A-DD81-48D6-80D6-63927F83D66D}">
  <sheetPr codeName="Sheet36"/>
  <dimension ref="A1:M31"/>
  <sheetViews>
    <sheetView topLeftCell="A18" workbookViewId="0">
      <selection activeCell="D31" sqref="D31"/>
    </sheetView>
  </sheetViews>
  <sheetFormatPr defaultColWidth="11.7265625" defaultRowHeight="14.5" x14ac:dyDescent="0.35"/>
  <cols>
    <col min="1" max="1" width="18.26953125" bestFit="1" customWidth="1"/>
    <col min="4" max="4" width="28.726562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4.4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6777025-000-00</v>
      </c>
      <c r="E1" s="2"/>
      <c r="F1" s="3" t="s">
        <v>75</v>
      </c>
      <c r="G1" s="8"/>
      <c r="M1" s="31" t="s">
        <v>36</v>
      </c>
    </row>
    <row r="2" spans="1:13" x14ac:dyDescent="0.35">
      <c r="A2" t="s">
        <v>37</v>
      </c>
      <c r="C2" s="6"/>
      <c r="D2" s="4">
        <v>25</v>
      </c>
      <c r="G2" s="8"/>
      <c r="K2" s="21" t="s">
        <v>38</v>
      </c>
    </row>
    <row r="3" spans="1:13" x14ac:dyDescent="0.35">
      <c r="A3" t="s">
        <v>39</v>
      </c>
      <c r="D3" s="4">
        <v>710</v>
      </c>
      <c r="G3" s="5" t="s">
        <v>40</v>
      </c>
      <c r="K3" s="20">
        <v>59.3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260</v>
      </c>
      <c r="C5" s="7">
        <f t="shared" ref="C5:C17" si="0">IFERROR(VALUE(LEFT(D5,5)),)</f>
        <v>1880</v>
      </c>
      <c r="D5" s="7" t="s">
        <v>21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110.3</v>
      </c>
      <c r="I5">
        <f>H5/100*C5/11000*B5</f>
        <v>49.013309090909082</v>
      </c>
      <c r="J5" s="19">
        <f t="shared" ref="J5:J17" si="1">IFERROR(I5/$I$20,)</f>
        <v>0.92770877741496693</v>
      </c>
      <c r="K5" s="15">
        <f>J5*$K$3*(1+$F$18)</f>
        <v>55.01313050070754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466</v>
      </c>
      <c r="D15" s="7" t="s">
        <v>0</v>
      </c>
      <c r="E15" s="7">
        <v>1</v>
      </c>
      <c r="F15" s="14"/>
      <c r="G15" s="8" t="e">
        <f ca="1">B15*C15*E15*(1+F15)/10000*(1+$F$18)*(1+$F$19)</f>
        <v>#REF!</v>
      </c>
      <c r="H15" s="7">
        <v>496.7</v>
      </c>
      <c r="I15">
        <f t="shared" si="3"/>
        <v>0.21042018181818181</v>
      </c>
      <c r="J15" s="19">
        <f t="shared" si="1"/>
        <v>3.9827682161983936E-3</v>
      </c>
      <c r="K15" s="15">
        <f t="shared" si="4"/>
        <v>0.23617815522056473</v>
      </c>
    </row>
    <row r="16" spans="1:13" x14ac:dyDescent="0.35">
      <c r="A16" t="s">
        <v>59</v>
      </c>
      <c r="B16" s="7">
        <v>2</v>
      </c>
      <c r="C16" s="7">
        <f t="shared" si="0"/>
        <v>940</v>
      </c>
      <c r="D16" s="12" t="s">
        <v>10</v>
      </c>
      <c r="E16" s="7">
        <v>1</v>
      </c>
      <c r="F16" s="14"/>
      <c r="G16" s="8" t="e">
        <f ca="1">(C16*E16*B16*$D$2/1000*$D$3)/10000*(1+$F$18)*(1+$F$19)</f>
        <v>#REF!</v>
      </c>
      <c r="H16" s="7">
        <v>4223.2</v>
      </c>
      <c r="I16">
        <f>H16/100*C16/11000*B16/2</f>
        <v>3.6089163636363639</v>
      </c>
      <c r="J16" s="19">
        <f t="shared" si="1"/>
        <v>6.8308454368834801E-2</v>
      </c>
      <c r="K16" s="15">
        <f t="shared" si="4"/>
        <v>4.0506913440719039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262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52.832645636363623</v>
      </c>
      <c r="J20" s="15"/>
      <c r="K20" s="18">
        <f>SUM(K5:K17)</f>
        <v>59.300000000000011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3">_xlfn.UNIQUE(_xlfn._xlws.FILTER(D5:D15,D5:D15&lt;&gt;""))</f>
        <v>01880-PA6-WEISS</v>
      </c>
      <c r="K22" s="28">
        <f t="shared" ref="K22:K29" si="5">SUMIF($D$5:$D$17,D22,$K$5:$K$17)</f>
        <v>55.01313050070754</v>
      </c>
      <c r="M22" s="32">
        <f>SUMIF($D$5:$D$15,D22,$B$5:$B$15)</f>
        <v>260</v>
      </c>
    </row>
    <row r="23" spans="1:13" x14ac:dyDescent="0.35">
      <c r="D23" t="str">
        <v>00466-PA6-WEISS</v>
      </c>
      <c r="K23" s="28">
        <f t="shared" si="5"/>
        <v>0.23617815522056473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10</v>
      </c>
      <c r="K30" s="15">
        <f>K16+K17</f>
        <v>4.0506913440719039</v>
      </c>
      <c r="M30">
        <v>1</v>
      </c>
    </row>
    <row r="31" spans="1:13" x14ac:dyDescent="0.35">
      <c r="A31" t="s">
        <v>64</v>
      </c>
      <c r="D31" t="s">
        <v>21</v>
      </c>
      <c r="K31">
        <f>SUMIF(D5:D13,D31,K5:K13)</f>
        <v>55.01313050070754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5D82964-0773-442D-8901-D1D1F6F0A685}">
          <x14:formula1>
            <xm:f>#REF!</xm:f>
          </x14:formula1>
          <xm:sqref>D5:D14 D16:D17 D29:D30</xm:sqref>
        </x14:dataValidation>
        <x14:dataValidation type="list" allowBlank="1" showDropDown="1" showInputMessage="1" showErrorMessage="1" xr:uid="{AAB1A574-A718-4A7E-A424-64357F9396F0}">
          <x14:formula1>
            <xm:f>#REF!</xm:f>
          </x14:formula1>
          <xm:sqref>D15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A676E-6CAA-4374-8650-D1C5431F93C4}">
  <sheetPr codeName="Sheet29"/>
  <dimension ref="A1:M31"/>
  <sheetViews>
    <sheetView topLeftCell="A25" zoomScaleNormal="100" workbookViewId="0">
      <selection activeCell="D31" sqref="D3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4.179687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6077025-000-01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25.5</v>
      </c>
      <c r="G2" s="8"/>
      <c r="K2" s="21" t="s">
        <v>38</v>
      </c>
    </row>
    <row r="3" spans="1:13" x14ac:dyDescent="0.35">
      <c r="A3" t="s">
        <v>39</v>
      </c>
      <c r="D3" s="4">
        <v>400</v>
      </c>
      <c r="G3" s="5" t="s">
        <v>40</v>
      </c>
      <c r="K3" s="20">
        <v>27.8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134</v>
      </c>
      <c r="C5" s="7">
        <f t="shared" ref="C5:C17" si="0">IFERROR(VALUE(LEFT(D5,5)),)</f>
        <v>1670</v>
      </c>
      <c r="D5" s="7" t="s">
        <v>19</v>
      </c>
      <c r="E5" s="7">
        <v>1</v>
      </c>
      <c r="F5" s="14">
        <v>8.6999999999999994E-2</v>
      </c>
      <c r="G5" s="8" t="e">
        <f ca="1">(B5*C5*E5* (1+F5))/10000*(1+$F$18)*(1+$F$19)</f>
        <v>#REF!</v>
      </c>
      <c r="H5" s="7">
        <v>109</v>
      </c>
      <c r="I5">
        <f>H5/100*C5/11000*B5</f>
        <v>22.17456363636364</v>
      </c>
      <c r="J5" s="19">
        <f t="shared" ref="J5:J17" si="1">IFERROR(I5/$I$20,)</f>
        <v>0.89563568895264833</v>
      </c>
      <c r="K5" s="15">
        <f>J5*$K$3*(1+$F$18)</f>
        <v>24.898672152883623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2</v>
      </c>
      <c r="E15" s="7">
        <v>1</v>
      </c>
      <c r="F15" s="14"/>
      <c r="G15" s="8" t="e">
        <f ca="1">B15*C15*E15*(1+F15)/10000*(1+$F$18)*(1+$F$19)</f>
        <v>#REF!</v>
      </c>
      <c r="H15" s="7">
        <v>377.4</v>
      </c>
      <c r="I15">
        <f t="shared" si="3"/>
        <v>0.18869999999999998</v>
      </c>
      <c r="J15" s="19">
        <f t="shared" si="1"/>
        <v>7.6216360906518265E-3</v>
      </c>
      <c r="K15" s="15">
        <f t="shared" si="4"/>
        <v>0.21188148332012077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15</v>
      </c>
      <c r="E16" s="7">
        <v>1</v>
      </c>
      <c r="F16" s="14"/>
      <c r="G16" s="8" t="e">
        <f ca="1">(C16*E16*B16*$D$2/1000*$D$3)/10000*(1+$F$18)*(1+$F$19)</f>
        <v>#REF!</v>
      </c>
      <c r="H16" s="7">
        <v>2395.1999999999998</v>
      </c>
      <c r="I16">
        <f>H16/100*C16/11000*B16/2</f>
        <v>2.3951999999999996</v>
      </c>
      <c r="J16" s="19">
        <f t="shared" si="1"/>
        <v>9.6742674956699803E-2</v>
      </c>
      <c r="K16" s="15">
        <f t="shared" si="4"/>
        <v>2.6894463637962547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136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24.75846363636364</v>
      </c>
      <c r="J20" s="15"/>
      <c r="K20" s="18">
        <f>SUM(K5:K17)</f>
        <v>27.799999999999997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3">_xlfn.UNIQUE(_xlfn._xlws.FILTER(D5:D15,D5:D15&lt;&gt;""))</f>
        <v>01670-PES-SCHWARZ</v>
      </c>
      <c r="K22" s="28">
        <f t="shared" ref="K22:K29" si="5">SUMIF($D$5:$D$17,D22,$K$5:$K$17)</f>
        <v>24.898672152883623</v>
      </c>
      <c r="M22" s="32">
        <f>SUMIF($D$5:$D$15,D22,$B$5:$B$15)</f>
        <v>134</v>
      </c>
    </row>
    <row r="23" spans="1:13" x14ac:dyDescent="0.35">
      <c r="D23" t="str">
        <v>00550-PES-SCHWARZ</v>
      </c>
      <c r="K23" s="28">
        <f t="shared" si="5"/>
        <v>0.21188148332012077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15</v>
      </c>
      <c r="K30" s="15">
        <f>K16+K17</f>
        <v>2.6894463637962547</v>
      </c>
      <c r="M30">
        <v>1</v>
      </c>
    </row>
    <row r="31" spans="1:13" x14ac:dyDescent="0.35">
      <c r="A31" t="s">
        <v>64</v>
      </c>
      <c r="D31" t="s">
        <v>19</v>
      </c>
      <c r="K31">
        <f>SUMIF(D5:D13,D31,K5:K13)</f>
        <v>24.898672152883623</v>
      </c>
    </row>
  </sheetData>
  <sortState xmlns:xlrd2="http://schemas.microsoft.com/office/spreadsheetml/2017/richdata2" ref="D23:D25">
    <sortCondition ref="D23:D25"/>
  </sortState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405056-F3E7-4ED8-9D1A-4B0E00128B1C}">
          <x14:formula1>
            <xm:f>#REF!</xm:f>
          </x14:formula1>
          <xm:sqref>D5:D17 D29:D30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CDC71-32F7-4962-9DBD-5409CDF483EB}">
  <sheetPr codeName="Sheet12"/>
  <dimension ref="A1:M31"/>
  <sheetViews>
    <sheetView workbookViewId="0">
      <selection activeCell="A31" sqref="A31:K31"/>
    </sheetView>
  </sheetViews>
  <sheetFormatPr defaultColWidth="11.7265625" defaultRowHeight="14.5" x14ac:dyDescent="0.35"/>
  <cols>
    <col min="1" max="1" width="18.26953125" bestFit="1" customWidth="1"/>
    <col min="4" max="4" width="26.726562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2.4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7588025-000-00</v>
      </c>
      <c r="E1" s="2"/>
      <c r="F1" s="3"/>
      <c r="G1" s="8"/>
    </row>
    <row r="2" spans="1:13" x14ac:dyDescent="0.35">
      <c r="A2" t="s">
        <v>37</v>
      </c>
      <c r="C2" s="6"/>
      <c r="D2" s="4">
        <v>26</v>
      </c>
      <c r="G2" s="8"/>
      <c r="K2" s="21" t="s">
        <v>38</v>
      </c>
      <c r="M2" s="31" t="s">
        <v>36</v>
      </c>
    </row>
    <row r="3" spans="1:13" x14ac:dyDescent="0.35">
      <c r="A3" t="s">
        <v>39</v>
      </c>
      <c r="D3" s="4">
        <v>430</v>
      </c>
      <c r="G3" s="5" t="s">
        <v>40</v>
      </c>
      <c r="K3" s="20">
        <v>61.4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104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104.7</v>
      </c>
      <c r="I5">
        <f>H5/100*C5/11000*B5</f>
        <v>32.666399999999996</v>
      </c>
      <c r="J5" s="19">
        <f t="shared" ref="J5:J17" si="1">IFERROR(I5/$I$20,)</f>
        <v>0.63315125164311137</v>
      </c>
      <c r="K5" s="15">
        <f>J5*$K$3*(1+$F$18)</f>
        <v>38.875486850887036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>
        <v>16</v>
      </c>
      <c r="C7" s="7">
        <f t="shared" si="0"/>
        <v>3300</v>
      </c>
      <c r="D7" s="7" t="s">
        <v>24</v>
      </c>
      <c r="E7" s="7">
        <v>1</v>
      </c>
      <c r="F7" s="14">
        <v>0.05</v>
      </c>
      <c r="G7" s="8" t="e">
        <f t="shared" ca="1" si="2"/>
        <v>#REF!</v>
      </c>
      <c r="H7" s="7">
        <v>104.7</v>
      </c>
      <c r="I7">
        <f t="shared" si="3"/>
        <v>5.0255999999999998</v>
      </c>
      <c r="J7" s="19">
        <f t="shared" si="1"/>
        <v>9.740788486817098E-2</v>
      </c>
      <c r="K7" s="15">
        <f t="shared" si="4"/>
        <v>5.9808441309056981</v>
      </c>
    </row>
    <row r="8" spans="1:13" x14ac:dyDescent="0.35">
      <c r="A8" t="s">
        <v>54</v>
      </c>
      <c r="B8" s="7">
        <v>14</v>
      </c>
      <c r="C8" s="7">
        <f t="shared" si="0"/>
        <v>1100</v>
      </c>
      <c r="D8" s="7" t="s">
        <v>16</v>
      </c>
      <c r="E8" s="7">
        <v>1</v>
      </c>
      <c r="F8" s="14">
        <v>0.20499999999999999</v>
      </c>
      <c r="G8" s="8" t="e">
        <f t="shared" ca="1" si="2"/>
        <v>#REF!</v>
      </c>
      <c r="H8" s="7">
        <v>130.4</v>
      </c>
      <c r="I8">
        <f t="shared" si="3"/>
        <v>1.8256000000000001</v>
      </c>
      <c r="J8" s="19">
        <f t="shared" si="1"/>
        <v>3.5384398801204427E-2</v>
      </c>
      <c r="K8" s="15">
        <f t="shared" si="4"/>
        <v>2.1726020863939519</v>
      </c>
    </row>
    <row r="9" spans="1:13" x14ac:dyDescent="0.35">
      <c r="A9" t="s">
        <v>55</v>
      </c>
      <c r="B9" s="7">
        <v>30</v>
      </c>
      <c r="C9" s="7">
        <f t="shared" si="0"/>
        <v>3300</v>
      </c>
      <c r="D9" s="7" t="s">
        <v>24</v>
      </c>
      <c r="E9" s="7">
        <v>1</v>
      </c>
      <c r="F9" s="14">
        <v>0.05</v>
      </c>
      <c r="G9" s="8" t="e">
        <f t="shared" ca="1" si="2"/>
        <v>#REF!</v>
      </c>
      <c r="H9" s="7">
        <v>103.2</v>
      </c>
      <c r="I9">
        <f t="shared" si="3"/>
        <v>9.2880000000000003</v>
      </c>
      <c r="J9" s="19">
        <f t="shared" si="1"/>
        <v>0.18002316830937046</v>
      </c>
      <c r="K9" s="15">
        <f t="shared" si="4"/>
        <v>11.053422534195345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466</v>
      </c>
      <c r="D15" s="7" t="s">
        <v>1</v>
      </c>
      <c r="E15" s="7">
        <v>1</v>
      </c>
      <c r="F15" s="14"/>
      <c r="G15" s="8" t="e">
        <f ca="1">B15*C15*E15*(1+F15)/10000*(1+$F$18)*(1+$F$19)</f>
        <v>#REF!</v>
      </c>
      <c r="H15" s="7">
        <v>422.2</v>
      </c>
      <c r="I15">
        <f t="shared" si="3"/>
        <v>0.1788592727272727</v>
      </c>
      <c r="J15" s="19">
        <f t="shared" si="1"/>
        <v>3.4667111281086785E-3</v>
      </c>
      <c r="K15" s="15">
        <f t="shared" si="4"/>
        <v>0.21285606326587286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2608.9</v>
      </c>
      <c r="I16">
        <f>H16/100*C16/11000*B16/2</f>
        <v>2.6089000000000002</v>
      </c>
      <c r="J16" s="19">
        <f t="shared" si="1"/>
        <v>5.0566585250034088E-2</v>
      </c>
      <c r="K16" s="15">
        <f t="shared" si="4"/>
        <v>3.1047883343520928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166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51.59335927272727</v>
      </c>
      <c r="J20" s="15"/>
      <c r="K20" s="18">
        <f>SUM(K5:K17)</f>
        <v>61.400000000000006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4">_xlfn.UNIQUE(_xlfn._xlws.FILTER(D5:D15,D5:D15&lt;&gt;""))</f>
        <v>03300-PES-WEISS</v>
      </c>
      <c r="K22" s="28">
        <f t="shared" ref="K22:K29" si="5">SUMIF($D$5:$D$17,D22,$K$5:$K$17)</f>
        <v>55.909753515988086</v>
      </c>
      <c r="M22" s="32">
        <f>SUMIF($D$5:$D$15,D22,$B$5:$B$15)</f>
        <v>150</v>
      </c>
    </row>
    <row r="23" spans="1:13" x14ac:dyDescent="0.35">
      <c r="D23" t="str">
        <v>01100-PES-WEISS</v>
      </c>
      <c r="K23" s="28">
        <f t="shared" si="5"/>
        <v>5.2773904207460447</v>
      </c>
      <c r="M23" s="32">
        <f>SUMIF($D$5:$D$15,D23,$B$5:$B$15)</f>
        <v>14</v>
      </c>
    </row>
    <row r="24" spans="1:13" x14ac:dyDescent="0.35">
      <c r="D24" t="str">
        <v>00466-PES-WEISS</v>
      </c>
      <c r="K24" s="28">
        <f t="shared" si="5"/>
        <v>0.21285606326587286</v>
      </c>
      <c r="M24" s="32">
        <f>SUMIF($D$5:$D$15,D24,$B$5:$B$15)</f>
        <v>1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3.1047883343520928</v>
      </c>
      <c r="M30">
        <v>1</v>
      </c>
    </row>
    <row r="31" spans="1:13" x14ac:dyDescent="0.35">
      <c r="A31" t="s">
        <v>76</v>
      </c>
      <c r="D31" t="s">
        <v>24</v>
      </c>
      <c r="K31">
        <f>SUMIF(D5:D13,D31,K5:K13)</f>
        <v>55.909753515988086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4838F0-0722-45A2-9FD5-7B028EDCA24C}">
          <x14:formula1>
            <xm:f>#REF!</xm:f>
          </x14:formula1>
          <xm:sqref>D5:D17 D29:D30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56019-ADCE-48F3-9CB3-16A3732BC64E}">
  <sheetPr codeName="Sheet5"/>
  <dimension ref="A1:M31"/>
  <sheetViews>
    <sheetView topLeftCell="A13" workbookViewId="0">
      <selection activeCell="A31" sqref="A31:K3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5.179687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6639025-000-00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26</v>
      </c>
      <c r="G2" s="8"/>
      <c r="K2" s="22" t="s">
        <v>38</v>
      </c>
    </row>
    <row r="3" spans="1:13" x14ac:dyDescent="0.35">
      <c r="A3" t="s">
        <v>39</v>
      </c>
      <c r="D3" s="4">
        <v>460</v>
      </c>
      <c r="G3" s="5" t="s">
        <v>40</v>
      </c>
      <c r="K3" s="20">
        <v>49.6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240</v>
      </c>
      <c r="C5" s="7">
        <f t="shared" ref="C5:C17" si="0">IFERROR(VALUE(LEFT(D5,5)),)</f>
        <v>1100</v>
      </c>
      <c r="D5" s="7" t="s">
        <v>16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113.9</v>
      </c>
      <c r="I5">
        <f>H5/100*C5/11000*B5</f>
        <v>27.336000000000002</v>
      </c>
      <c r="J5" s="19">
        <f t="shared" ref="J5:J17" si="1">IFERROR(I5/$I$20,)</f>
        <v>0.61631142033899833</v>
      </c>
      <c r="K5" s="15">
        <f>J5*$K$3*(1+$F$18)</f>
        <v>30.569046448814319</v>
      </c>
    </row>
    <row r="6" spans="1:13" x14ac:dyDescent="0.35">
      <c r="A6" t="s">
        <v>52</v>
      </c>
      <c r="B6" s="7">
        <v>36</v>
      </c>
      <c r="C6" s="7">
        <f t="shared" si="0"/>
        <v>1100</v>
      </c>
      <c r="D6" s="7" t="s">
        <v>16</v>
      </c>
      <c r="E6" s="7"/>
      <c r="F6" s="14">
        <v>0.05</v>
      </c>
      <c r="G6" s="8" t="e">
        <f t="shared" ref="G6:G14" ca="1" si="2">(B6*C6*E6* (1+F6))/10000*(1+$F$18)*(1+$F$19)</f>
        <v>#REF!</v>
      </c>
      <c r="H6" s="7">
        <v>113.8</v>
      </c>
      <c r="I6">
        <f t="shared" ref="I6:I15" si="3">H6/100*C6/11000*B6</f>
        <v>4.0968</v>
      </c>
      <c r="J6" s="19">
        <f t="shared" si="1"/>
        <v>9.2365548245712914E-2</v>
      </c>
      <c r="K6" s="15">
        <f t="shared" ref="K6:K17" si="4">J6*$K$3*(1+$F$18)</f>
        <v>4.5813311929873608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22</v>
      </c>
      <c r="C8" s="7">
        <f t="shared" si="0"/>
        <v>1100</v>
      </c>
      <c r="D8" s="7" t="s">
        <v>16</v>
      </c>
      <c r="E8" s="7">
        <v>1</v>
      </c>
      <c r="F8" s="14">
        <v>0.20499999999999999</v>
      </c>
      <c r="G8" s="8" t="e">
        <f t="shared" ca="1" si="2"/>
        <v>#REF!</v>
      </c>
      <c r="H8" s="7">
        <v>124.8</v>
      </c>
      <c r="I8">
        <f t="shared" si="3"/>
        <v>2.7456</v>
      </c>
      <c r="J8" s="19">
        <f t="shared" si="1"/>
        <v>6.1901691384355931E-2</v>
      </c>
      <c r="K8" s="15">
        <f t="shared" si="4"/>
        <v>3.0703238926640544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>
        <v>1</v>
      </c>
      <c r="C14" s="7">
        <f t="shared" si="0"/>
        <v>550</v>
      </c>
      <c r="D14" s="7" t="s">
        <v>3</v>
      </c>
      <c r="E14" s="7"/>
      <c r="F14" s="14"/>
      <c r="G14" s="8" t="e">
        <f t="shared" ca="1" si="2"/>
        <v>#REF!</v>
      </c>
      <c r="H14" s="7">
        <v>408.4</v>
      </c>
      <c r="I14">
        <f t="shared" si="3"/>
        <v>0.20419999999999999</v>
      </c>
      <c r="J14" s="19">
        <f t="shared" si="1"/>
        <v>4.6038481135946534E-3</v>
      </c>
      <c r="K14" s="15">
        <f t="shared" si="4"/>
        <v>0.22835086643429481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1382.8</v>
      </c>
      <c r="I15">
        <f t="shared" si="3"/>
        <v>0.69140000000000001</v>
      </c>
      <c r="J15" s="19">
        <f t="shared" si="1"/>
        <v>1.5588151742112357E-2</v>
      </c>
      <c r="K15" s="15">
        <f t="shared" si="4"/>
        <v>0.77317232640877298</v>
      </c>
    </row>
    <row r="16" spans="1:13" x14ac:dyDescent="0.35">
      <c r="A16" t="s">
        <v>59</v>
      </c>
      <c r="B16" s="7">
        <v>2</v>
      </c>
      <c r="C16" s="7">
        <f t="shared" si="0"/>
        <v>2200</v>
      </c>
      <c r="D16" s="12" t="s">
        <v>22</v>
      </c>
      <c r="E16" s="7">
        <v>1</v>
      </c>
      <c r="F16" s="14"/>
      <c r="G16" s="8" t="e">
        <f ca="1">(C16*E16*B16*$D$2/1000*$D$3)/10000*(1+$F$18)*(1+$F$19)</f>
        <v>#REF!</v>
      </c>
      <c r="H16" s="7">
        <v>4640.1000000000004</v>
      </c>
      <c r="I16">
        <f>H16/100*C16/11000*B16/2</f>
        <v>9.2802000000000007</v>
      </c>
      <c r="J16" s="19">
        <f t="shared" si="1"/>
        <v>0.20922934017522579</v>
      </c>
      <c r="K16" s="15">
        <f t="shared" si="4"/>
        <v>10.377775272691199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301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44.354200000000006</v>
      </c>
      <c r="J20" s="15"/>
      <c r="K20" s="18">
        <f>SUM(K5:K17)</f>
        <v>49.600000000000009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3">_xlfn.UNIQUE(_xlfn._xlws.FILTER(D5:D15,D5:D15&lt;&gt;""))</f>
        <v>01100-PES-WEISS</v>
      </c>
      <c r="K22" s="28">
        <f t="shared" ref="K22:K29" si="5">SUMIF($D$5:$D$17,D22,$K$5:$K$17)</f>
        <v>38.220701534465739</v>
      </c>
      <c r="M22" s="32">
        <f>SUMIF($D$5:$D$15,D22,$B$5:$B$15)</f>
        <v>298</v>
      </c>
    </row>
    <row r="23" spans="1:13" x14ac:dyDescent="0.35">
      <c r="D23" t="str">
        <v>00550-PES-WEISS</v>
      </c>
      <c r="K23" s="28">
        <f t="shared" si="5"/>
        <v>1.0015231928430679</v>
      </c>
      <c r="M23" s="32">
        <f>SUMIF($D$5:$D$15,D23,$B$5:$B$15)</f>
        <v>2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22</v>
      </c>
      <c r="K30" s="15">
        <f>K16+K17</f>
        <v>10.377775272691199</v>
      </c>
      <c r="M30">
        <v>1</v>
      </c>
    </row>
    <row r="31" spans="1:13" x14ac:dyDescent="0.35">
      <c r="A31" t="s">
        <v>64</v>
      </c>
      <c r="D31" t="s">
        <v>16</v>
      </c>
      <c r="K31">
        <f>SUMIF(D5:D13,D31,K5:K13)</f>
        <v>38.220701534465739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3DD45F-7CD6-422A-85A2-48E2D5EA99DC}">
          <x14:formula1>
            <xm:f>#REF!</xm:f>
          </x14:formula1>
          <xm:sqref>D5:D17 D29:D30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D7005-0C80-4498-AD33-90049C3C1145}">
  <sheetPr codeName="Sheet27"/>
  <dimension ref="A1:M31"/>
  <sheetViews>
    <sheetView topLeftCell="A12" workbookViewId="0">
      <selection activeCell="D5" sqref="D5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9" bestFit="1" customWidth="1"/>
    <col min="8" max="8" width="11" bestFit="1" customWidth="1"/>
    <col min="9" max="9" width="12.26953125" customWidth="1"/>
    <col min="10" max="10" width="7.81640625" customWidth="1"/>
    <col min="11" max="11" width="15.4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7690025-000-00</v>
      </c>
      <c r="E1" s="25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26.5</v>
      </c>
      <c r="G2" s="8"/>
      <c r="K2" s="21" t="s">
        <v>38</v>
      </c>
    </row>
    <row r="3" spans="1:13" x14ac:dyDescent="0.35">
      <c r="A3" t="s">
        <v>39</v>
      </c>
      <c r="D3" s="4">
        <v>600</v>
      </c>
      <c r="G3" s="5" t="s">
        <v>40</v>
      </c>
      <c r="K3" s="20">
        <v>21.3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96</v>
      </c>
      <c r="C5" s="7">
        <f t="shared" ref="C5:C17" si="0">IFERROR(VALUE(LEFT(D5,5)),)</f>
        <v>1670</v>
      </c>
      <c r="D5" s="7" t="s">
        <v>20</v>
      </c>
      <c r="E5" s="7">
        <v>1</v>
      </c>
      <c r="F5" s="14">
        <v>4.8000000000000001E-2</v>
      </c>
      <c r="G5" s="8" t="e">
        <f ca="1">(B5*C5*E5* (1+F5))/10000*(1+$F$18)*(1+$F$19)</f>
        <v>#REF!</v>
      </c>
      <c r="H5" s="7">
        <v>105.2</v>
      </c>
      <c r="I5">
        <f>H5/100*C5/11000*B5</f>
        <v>15.332421818181819</v>
      </c>
      <c r="J5" s="29">
        <f t="shared" ref="J5:J17" si="1">IFERROR(I5/$I$20,)</f>
        <v>0.80377259273390556</v>
      </c>
      <c r="K5" s="15">
        <f>J5*$K$3*(1+$F$18)</f>
        <v>17.120356225232189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>
        <v>1</v>
      </c>
      <c r="F8" s="14">
        <v>0.12</v>
      </c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395.1</v>
      </c>
      <c r="I15">
        <f t="shared" si="3"/>
        <v>0.19755</v>
      </c>
      <c r="J15" s="29">
        <f t="shared" si="1"/>
        <v>1.0356177098277384E-2</v>
      </c>
      <c r="K15" s="15">
        <f t="shared" si="4"/>
        <v>0.22058657219330829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3545.6</v>
      </c>
      <c r="I16">
        <f>H16/100*C16/11000*B16/2</f>
        <v>3.5455999999999999</v>
      </c>
      <c r="J16" s="29">
        <f t="shared" si="1"/>
        <v>0.1858712301678172</v>
      </c>
      <c r="K16" s="15">
        <f t="shared" si="4"/>
        <v>3.9590572025745066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98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19.075571818181817</v>
      </c>
      <c r="J20" s="15"/>
      <c r="K20" s="18">
        <f>SUM(K5:K17)</f>
        <v>21.300000000000004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3">_xlfn.UNIQUE(_xlfn._xlws.FILTER(D5:D15,D5:D15&lt;&gt;""))</f>
        <v>01670-PES-WEISS</v>
      </c>
      <c r="K22" s="28">
        <f t="shared" ref="K22:K29" si="5">SUMIF($D$5:$D$17,D22,$K$5:$K$17)</f>
        <v>17.120356225232189</v>
      </c>
      <c r="M22" s="32">
        <f>SUMIF($D$5:$D$15,D22,$B$5:$B$15)</f>
        <v>96</v>
      </c>
    </row>
    <row r="23" spans="1:13" x14ac:dyDescent="0.35">
      <c r="D23" t="str">
        <v>00550-PES-WEISS</v>
      </c>
      <c r="K23" s="28">
        <f t="shared" si="5"/>
        <v>0.22058657219330829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3.9590572025745066</v>
      </c>
      <c r="M30">
        <v>1</v>
      </c>
    </row>
    <row r="31" spans="1:13" x14ac:dyDescent="0.35">
      <c r="A31" t="s">
        <v>64</v>
      </c>
      <c r="D31" t="s">
        <v>20</v>
      </c>
      <c r="K31">
        <f>SUMIF(D5:D13,D31,K5:K13)</f>
        <v>17.120356225232189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BFD900-3D48-457A-AFD0-C69A5E394E1C}">
          <x14:formula1>
            <xm:f>#REF!</xm:f>
          </x14:formula1>
          <xm:sqref>D5:D17 D29:D30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35B4B-BECC-4383-9430-4B85A99194DF}">
  <sheetPr codeName="Sheet53">
    <tabColor rgb="FF00B050"/>
  </sheetPr>
  <dimension ref="A1:M31"/>
  <sheetViews>
    <sheetView workbookViewId="0">
      <selection activeCell="D5" sqref="D5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9" bestFit="1" customWidth="1"/>
    <col min="8" max="8" width="11" bestFit="1" customWidth="1"/>
    <col min="9" max="9" width="12.26953125" customWidth="1"/>
    <col min="10" max="10" width="7.81640625" customWidth="1"/>
    <col min="11" max="11" width="14.4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7693026-000-00</v>
      </c>
      <c r="E1" s="25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26.5</v>
      </c>
      <c r="G2" s="8"/>
      <c r="K2" s="21" t="s">
        <v>38</v>
      </c>
    </row>
    <row r="3" spans="1:13" x14ac:dyDescent="0.35">
      <c r="A3" t="s">
        <v>39</v>
      </c>
      <c r="D3" s="4">
        <v>600</v>
      </c>
      <c r="G3" s="5" t="s">
        <v>40</v>
      </c>
      <c r="K3" s="20">
        <v>52.6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124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4.8000000000000001E-2</v>
      </c>
      <c r="G5" s="8" t="e">
        <f ca="1">(B5*C5*E5* (1+F5))/10000*(1+$F$18)*(1+$F$19)</f>
        <v>#REF!</v>
      </c>
      <c r="H5" s="7">
        <v>115.6</v>
      </c>
      <c r="I5">
        <f>H5/100*C5/11000*B5</f>
        <v>43.0032</v>
      </c>
      <c r="J5" s="19">
        <f t="shared" ref="J5:J17" si="1">IFERROR(I5/$I$20,)</f>
        <v>0.91917916995747517</v>
      </c>
      <c r="K5" s="15" t="e">
        <f ca="1">J5*$K$3*(1+$F$18)</f>
        <v>#REF!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 t="e">
        <f t="shared" ref="K6:K17" ca="1" si="4">J6*$K$3*(1+$F$18)</f>
        <v>#REF!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 t="e">
        <f t="shared" ca="1" si="4"/>
        <v>#REF!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>
        <v>1</v>
      </c>
      <c r="F8" s="14">
        <v>0.12</v>
      </c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 t="e">
        <f t="shared" ca="1" si="4"/>
        <v>#REF!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 t="e">
        <f t="shared" ca="1" si="4"/>
        <v>#REF!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 t="e">
        <f t="shared" ca="1" si="4"/>
        <v>#REF!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 t="e">
        <f t="shared" ca="1" si="4"/>
        <v>#REF!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 t="e">
        <f t="shared" ca="1" si="4"/>
        <v>#REF!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 t="e">
        <f t="shared" ca="1" si="4"/>
        <v>#REF!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 t="e">
        <f t="shared" ca="1" si="4"/>
        <v>#REF!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433.9</v>
      </c>
      <c r="I15">
        <f t="shared" si="3"/>
        <v>0.21694999999999998</v>
      </c>
      <c r="J15" s="19">
        <f t="shared" si="1"/>
        <v>4.637234459814019E-3</v>
      </c>
      <c r="K15" s="15" t="e">
        <f t="shared" ca="1" si="4"/>
        <v>#REF!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3564.2</v>
      </c>
      <c r="I16">
        <f>H16/100*C16/11000*B16/2</f>
        <v>3.5641999999999996</v>
      </c>
      <c r="J16" s="19">
        <f t="shared" si="1"/>
        <v>7.6183595582710886E-2</v>
      </c>
      <c r="K16" s="15" t="e">
        <f t="shared" ca="1" si="4"/>
        <v>#REF!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 t="e">
        <f t="shared" ca="1" si="4"/>
        <v>#REF!</v>
      </c>
    </row>
    <row r="18" spans="1:13" x14ac:dyDescent="0.35">
      <c r="B18">
        <f>SUM(B5:B17)-1</f>
        <v>126</v>
      </c>
      <c r="D18" s="16" t="s">
        <v>31</v>
      </c>
      <c r="F18" s="14" t="e">
        <f ca="1">_xlfn.XLOOKUP(D1,#REF!,#REF!,0,0)</f>
        <v>#REF!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46.784349999999996</v>
      </c>
      <c r="J20" s="15"/>
      <c r="K20" s="18" t="e">
        <f ca="1">SUM(K5:K17)</f>
        <v>#REF!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3">_xlfn.UNIQUE(_xlfn._xlws.FILTER(D5:D15,D5:D15&lt;&gt;""))</f>
        <v>03300-PES-WEISS</v>
      </c>
      <c r="K22" s="28" t="e">
        <f t="shared" ref="K22:K29" ca="1" si="5">SUMIF($D$5:$D$17,D22,$K$5:$K$17)</f>
        <v>#REF!</v>
      </c>
      <c r="M22" s="32">
        <f>SUMIF($D$5:$D$15,D22,$B$5:$B$15)</f>
        <v>124</v>
      </c>
    </row>
    <row r="23" spans="1:13" x14ac:dyDescent="0.35">
      <c r="D23" t="str">
        <v>00550-PES-WEISS</v>
      </c>
      <c r="K23" s="28" t="e">
        <f t="shared" ca="1" si="5"/>
        <v>#REF!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 t="e">
        <f ca="1">K16+K17</f>
        <v>#REF!</v>
      </c>
      <c r="M30">
        <v>1</v>
      </c>
    </row>
    <row r="31" spans="1:13" x14ac:dyDescent="0.35">
      <c r="A31" t="s">
        <v>64</v>
      </c>
      <c r="D31" t="s">
        <v>24</v>
      </c>
      <c r="K31" t="e">
        <f ca="1">SUMIF(D5:D13,D31,K5:K13)</f>
        <v>#REF!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78757B-9F17-40DA-91E6-8401B02C87C7}">
          <x14:formula1>
            <xm:f>#REF!</xm:f>
          </x14:formula1>
          <xm:sqref>D5:D17 D29:D30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BB28C-4633-4D8F-B734-049206398D19}">
  <sheetPr codeName="Sheet51"/>
  <dimension ref="A1:R31"/>
  <sheetViews>
    <sheetView topLeftCell="A6" workbookViewId="0">
      <selection activeCell="Q11" sqref="Q1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9" bestFit="1" customWidth="1"/>
    <col min="8" max="8" width="11" bestFit="1" customWidth="1"/>
    <col min="9" max="9" width="12.26953125" customWidth="1"/>
    <col min="10" max="10" width="7.81640625" customWidth="1"/>
    <col min="11" max="11" width="13.453125" customWidth="1"/>
  </cols>
  <sheetData>
    <row r="1" spans="1:18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7560025-000-00</v>
      </c>
      <c r="E1" s="25"/>
      <c r="F1" s="3"/>
      <c r="G1" s="8"/>
      <c r="M1" s="31" t="s">
        <v>36</v>
      </c>
    </row>
    <row r="2" spans="1:18" x14ac:dyDescent="0.35">
      <c r="A2" t="s">
        <v>37</v>
      </c>
      <c r="C2" s="6"/>
      <c r="D2" s="4">
        <v>26.5</v>
      </c>
      <c r="G2" s="8"/>
      <c r="K2" s="21" t="s">
        <v>38</v>
      </c>
    </row>
    <row r="3" spans="1:18" x14ac:dyDescent="0.35">
      <c r="A3" t="s">
        <v>39</v>
      </c>
      <c r="D3" s="4">
        <v>600</v>
      </c>
      <c r="G3" s="5" t="s">
        <v>40</v>
      </c>
      <c r="K3" s="20">
        <v>19.600000000000001</v>
      </c>
    </row>
    <row r="4" spans="1:18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8" x14ac:dyDescent="0.35">
      <c r="A5" t="s">
        <v>51</v>
      </c>
      <c r="B5" s="7">
        <v>88</v>
      </c>
      <c r="C5" s="7">
        <f t="shared" ref="C5:C17" si="0">IFERROR(VALUE(LEFT(D5,5)),)</f>
        <v>1670</v>
      </c>
      <c r="D5" s="7" t="s">
        <v>20</v>
      </c>
      <c r="E5" s="7">
        <v>1</v>
      </c>
      <c r="F5" s="14">
        <v>4.8000000000000001E-2</v>
      </c>
      <c r="G5" s="8" t="e">
        <f ca="1">(B5*C5*E5* (1+F5))/10000*(1+$F$18)*(1+$F$19)</f>
        <v>#REF!</v>
      </c>
      <c r="H5" s="7">
        <v>104.6</v>
      </c>
      <c r="I5">
        <f>H5/100*C5/11000*B5</f>
        <v>13.97456</v>
      </c>
      <c r="J5" s="19">
        <f t="shared" ref="J5:J17" si="1">IFERROR(I5/$I$20,)</f>
        <v>0.79775263580632083</v>
      </c>
      <c r="K5" s="15">
        <f>J5*$K$3*(1+$F$18)</f>
        <v>15.63595166180389</v>
      </c>
    </row>
    <row r="6" spans="1:18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8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8" x14ac:dyDescent="0.35">
      <c r="A8" t="s">
        <v>54</v>
      </c>
      <c r="B8" s="7"/>
      <c r="C8" s="7">
        <f t="shared" si="0"/>
        <v>0</v>
      </c>
      <c r="D8" s="7"/>
      <c r="E8" s="7">
        <v>1</v>
      </c>
      <c r="F8" s="14">
        <v>0.12</v>
      </c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  <c r="Q8">
        <v>88</v>
      </c>
      <c r="R8">
        <v>900</v>
      </c>
    </row>
    <row r="9" spans="1:18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  <c r="Q9">
        <f>R9/R8*Q8</f>
        <v>102.66666666666667</v>
      </c>
      <c r="R9">
        <v>1050</v>
      </c>
    </row>
    <row r="10" spans="1:18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8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8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8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8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8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471.5</v>
      </c>
      <c r="I15">
        <f t="shared" si="3"/>
        <v>0.23574999999999999</v>
      </c>
      <c r="J15" s="19">
        <f t="shared" si="1"/>
        <v>1.3458039744459941E-2</v>
      </c>
      <c r="K15" s="15">
        <f t="shared" si="4"/>
        <v>0.26377757899141485</v>
      </c>
    </row>
    <row r="16" spans="1:18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3307.1</v>
      </c>
      <c r="I16">
        <f>H16/100*C16/11000*B16/2</f>
        <v>3.3070999999999997</v>
      </c>
      <c r="J16" s="19">
        <f t="shared" si="1"/>
        <v>0.18878932444921939</v>
      </c>
      <c r="K16" s="15">
        <f t="shared" si="4"/>
        <v>3.7002707592047002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90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17.517409999999998</v>
      </c>
      <c r="J20" s="15"/>
      <c r="K20" s="18">
        <f>SUM(K5:K17)</f>
        <v>19.600000000000005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3">_xlfn.UNIQUE(_xlfn._xlws.FILTER(D5:D15,D5:D15&lt;&gt;""))</f>
        <v>01670-PES-WEISS</v>
      </c>
      <c r="K22" s="28">
        <f t="shared" ref="K22:K29" si="5">SUMIF($D$5:$D$17,D22,$K$5:$K$17)</f>
        <v>15.63595166180389</v>
      </c>
      <c r="M22" s="32">
        <f>SUMIF($D$5:$D$15,D22,$B$5:$B$15)</f>
        <v>88</v>
      </c>
    </row>
    <row r="23" spans="1:13" x14ac:dyDescent="0.35">
      <c r="D23" t="str">
        <v>00550-PES-WEISS</v>
      </c>
      <c r="K23" s="28">
        <f t="shared" si="5"/>
        <v>0.26377757899141485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3.7002707592047002</v>
      </c>
      <c r="M30">
        <v>1</v>
      </c>
    </row>
    <row r="31" spans="1:13" x14ac:dyDescent="0.35">
      <c r="A31" t="s">
        <v>64</v>
      </c>
      <c r="D31" t="s">
        <v>20</v>
      </c>
      <c r="K31">
        <f>SUMIF(D5:D13,D31,K5:K13)</f>
        <v>15.63595166180389</v>
      </c>
    </row>
  </sheetData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49103-AF72-46B8-996E-7DE145D871FC}">
          <x14:formula1>
            <xm:f>#REF!</xm:f>
          </x14:formula1>
          <xm:sqref>D5:D17 D29:D30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4D3F8-7C0F-4559-AB88-61F44C312EE7}">
  <sheetPr codeName="Sheet28"/>
  <dimension ref="A1:M31"/>
  <sheetViews>
    <sheetView topLeftCell="G1" workbookViewId="0">
      <selection activeCell="M1" sqref="M1"/>
    </sheetView>
  </sheetViews>
  <sheetFormatPr defaultColWidth="11.7265625" defaultRowHeight="14.5" x14ac:dyDescent="0.35"/>
  <cols>
    <col min="1" max="1" width="18.26953125" bestFit="1" customWidth="1"/>
    <col min="4" max="4" width="30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1.269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7561025-000-00</v>
      </c>
      <c r="E1" s="2"/>
      <c r="F1" s="3" t="s">
        <v>77</v>
      </c>
      <c r="G1" s="8" t="s">
        <v>78</v>
      </c>
      <c r="M1" s="31" t="s">
        <v>36</v>
      </c>
    </row>
    <row r="2" spans="1:13" x14ac:dyDescent="0.35">
      <c r="A2" t="s">
        <v>37</v>
      </c>
      <c r="C2" s="6"/>
      <c r="D2" s="4">
        <v>25</v>
      </c>
      <c r="G2" s="8"/>
      <c r="K2" s="21" t="s">
        <v>38</v>
      </c>
    </row>
    <row r="3" spans="1:13" x14ac:dyDescent="0.35">
      <c r="A3" t="s">
        <v>39</v>
      </c>
      <c r="D3" s="4">
        <v>500</v>
      </c>
      <c r="G3" s="5" t="s">
        <v>40</v>
      </c>
      <c r="K3" s="20">
        <v>21.1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140</v>
      </c>
      <c r="C5" s="7">
        <f t="shared" ref="C5:C17" si="0">IFERROR(VALUE(LEFT(D5,5)),)</f>
        <v>1100</v>
      </c>
      <c r="D5" s="7" t="s">
        <v>15</v>
      </c>
      <c r="E5" s="7">
        <v>1</v>
      </c>
      <c r="F5" s="14">
        <v>4.8000000000000001E-2</v>
      </c>
      <c r="G5" s="8" t="e">
        <f ca="1">(B5*C5*E5* (1+F5))/10000*(1+$F$18)*(1+$F$19)</f>
        <v>#REF!</v>
      </c>
      <c r="H5" s="7">
        <v>111.1</v>
      </c>
      <c r="I5">
        <f>H5/100*C5/11000*B5</f>
        <v>15.553999999999998</v>
      </c>
      <c r="J5" s="19">
        <f t="shared" ref="J5:J17" si="1">IFERROR(I5/$I$20,)</f>
        <v>0.84321347059812102</v>
      </c>
      <c r="K5" s="15">
        <f>J5*$K$3*(1+$F$18)</f>
        <v>17.791804229620354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/>
      <c r="C15" s="7">
        <f t="shared" si="0"/>
        <v>0</v>
      </c>
      <c r="D15" s="7"/>
      <c r="E15" s="7"/>
      <c r="F15" s="14"/>
      <c r="G15" s="8" t="e">
        <f ca="1">B15*C15*E15*(1+F15)/10000*(1+$F$18)*(1+$F$19)</f>
        <v>#REF!</v>
      </c>
      <c r="H15" s="7"/>
      <c r="I15">
        <f t="shared" si="3"/>
        <v>0</v>
      </c>
      <c r="J15" s="19">
        <f t="shared" si="1"/>
        <v>0</v>
      </c>
      <c r="K15" s="15">
        <f t="shared" si="4"/>
        <v>0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15</v>
      </c>
      <c r="E16" s="7">
        <v>1</v>
      </c>
      <c r="F16" s="14"/>
      <c r="G16" s="8" t="e">
        <f ca="1">(C16*E16*B16*$D$2/1000*$D$3)/10000*(1+$F$18)*(1+$F$19)</f>
        <v>#REF!</v>
      </c>
      <c r="H16" s="7">
        <v>2892.1</v>
      </c>
      <c r="I16">
        <f>H16/100*C16/11000*B16/2</f>
        <v>2.8920999999999997</v>
      </c>
      <c r="J16" s="19">
        <f t="shared" si="1"/>
        <v>0.15678652940187898</v>
      </c>
      <c r="K16" s="15">
        <f t="shared" si="4"/>
        <v>3.3081957703796467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141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18.446099999999998</v>
      </c>
      <c r="J20" s="15"/>
      <c r="K20" s="18">
        <f>SUM(K5:K17)</f>
        <v>21.1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">_xlfn.UNIQUE(_xlfn._xlws.FILTER(D5:D15,D5:D15&lt;&gt;""))</f>
        <v>01100-PES-SCHWARZ</v>
      </c>
      <c r="K22" s="28">
        <f t="shared" ref="K22:K29" si="5">SUMIF($D$5:$D$17,D22,$K$5:$K$17)</f>
        <v>21.1</v>
      </c>
      <c r="M22" s="32">
        <f>SUMIF($D$5:$D$15,D22,$B$5:$B$15)</f>
        <v>140</v>
      </c>
    </row>
    <row r="23" spans="1:13" x14ac:dyDescent="0.35">
      <c r="K23" s="28">
        <f t="shared" si="5"/>
        <v>0</v>
      </c>
    </row>
    <row r="24" spans="1:13" x14ac:dyDescent="0.35">
      <c r="K24" s="28">
        <f t="shared" si="5"/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15</v>
      </c>
      <c r="K30" s="15">
        <f>K16+K17</f>
        <v>3.3081957703796467</v>
      </c>
      <c r="M30">
        <v>1</v>
      </c>
    </row>
    <row r="31" spans="1:13" x14ac:dyDescent="0.35">
      <c r="A31" t="s">
        <v>64</v>
      </c>
      <c r="D31" t="s">
        <v>15</v>
      </c>
      <c r="K31">
        <f>SUMIF(D5:D13,D31,K5:K13)</f>
        <v>17.791804229620354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55B7A4-7BF7-4A3C-8648-7B0B4DB7BCAB}">
          <x14:formula1>
            <xm:f>#REF!</xm:f>
          </x14:formula1>
          <xm:sqref>D5:D17 D29:D30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9FAF7-BB3E-474B-A7C1-1D1882444AC6}">
  <sheetPr codeName="Sheet42"/>
  <dimension ref="A1:M31"/>
  <sheetViews>
    <sheetView topLeftCell="A25" workbookViewId="0">
      <selection activeCell="D31" sqref="D31"/>
    </sheetView>
  </sheetViews>
  <sheetFormatPr defaultColWidth="11.7265625" defaultRowHeight="14.5" x14ac:dyDescent="0.35"/>
  <cols>
    <col min="1" max="1" width="18.26953125" bestFit="1" customWidth="1"/>
    <col min="4" max="4" width="30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4.269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7561025-000-01</v>
      </c>
      <c r="E1" s="2"/>
      <c r="F1" s="3" t="s">
        <v>77</v>
      </c>
      <c r="G1" s="8" t="s">
        <v>79</v>
      </c>
      <c r="M1" s="31" t="s">
        <v>36</v>
      </c>
    </row>
    <row r="2" spans="1:13" x14ac:dyDescent="0.35">
      <c r="A2" t="s">
        <v>37</v>
      </c>
      <c r="C2" s="6"/>
      <c r="D2" s="4">
        <v>25</v>
      </c>
      <c r="G2" s="8"/>
      <c r="K2" s="21" t="s">
        <v>38</v>
      </c>
    </row>
    <row r="3" spans="1:13" x14ac:dyDescent="0.35">
      <c r="A3" t="s">
        <v>39</v>
      </c>
      <c r="D3" s="4">
        <v>500</v>
      </c>
      <c r="G3" s="5" t="s">
        <v>40</v>
      </c>
      <c r="K3" s="20">
        <v>21.1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140</v>
      </c>
      <c r="C5" s="7">
        <f t="shared" ref="C5:C17" si="0">IFERROR(VALUE(LEFT(D5,5)),)</f>
        <v>1100</v>
      </c>
      <c r="D5" s="7" t="s">
        <v>30</v>
      </c>
      <c r="E5" s="7">
        <v>1</v>
      </c>
      <c r="F5" s="14">
        <v>4.8000000000000001E-2</v>
      </c>
      <c r="G5" s="8" t="e">
        <f ca="1">(B5*C5*E5* (1+F5))/10000*(1+$F$18)*(1+$F$19)</f>
        <v>#REF!</v>
      </c>
      <c r="H5" s="7">
        <v>111.1</v>
      </c>
      <c r="I5">
        <f>H5/100*C5/11000*B5</f>
        <v>15.553999999999998</v>
      </c>
      <c r="J5" s="19">
        <f t="shared" ref="J5:J17" si="1">IFERROR(I5/$I$20,)</f>
        <v>0.83406172078183227</v>
      </c>
      <c r="K5" s="15">
        <f>J5*$K$3*(1+$F$18)</f>
        <v>17.598702308496662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2</v>
      </c>
      <c r="E15" s="7">
        <v>1</v>
      </c>
      <c r="F15" s="14"/>
      <c r="G15" s="8" t="e">
        <f ca="1">B15*C15*E15*(1+F15)/10000*(1+$F$18)*(1+$F$19)</f>
        <v>#REF!</v>
      </c>
      <c r="H15" s="7">
        <v>404.8</v>
      </c>
      <c r="I15">
        <f t="shared" si="3"/>
        <v>0.2024</v>
      </c>
      <c r="J15" s="19">
        <f t="shared" si="1"/>
        <v>1.0853419846100222E-2</v>
      </c>
      <c r="K15" s="15">
        <f t="shared" si="4"/>
        <v>0.22900715875271471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15</v>
      </c>
      <c r="E16" s="7">
        <v>1</v>
      </c>
      <c r="F16" s="14"/>
      <c r="G16" s="8" t="e">
        <f ca="1">(C16*E16*B16*$D$2/1000*$D$3)/10000*(1+$F$18)*(1+$F$19)</f>
        <v>#REF!</v>
      </c>
      <c r="H16" s="7">
        <v>2892.1</v>
      </c>
      <c r="I16">
        <f>H16/100*C16/11000*B16/2</f>
        <v>2.8920999999999997</v>
      </c>
      <c r="J16" s="19">
        <f t="shared" si="1"/>
        <v>0.15508485937206745</v>
      </c>
      <c r="K16" s="15">
        <f t="shared" si="4"/>
        <v>3.2722905327506235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142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18.648499999999999</v>
      </c>
      <c r="J20" s="15"/>
      <c r="K20" s="18">
        <f>SUM(K5:K17)</f>
        <v>21.1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3">_xlfn.UNIQUE(_xlfn._xlws.FILTER(D5:D15,D5:D15&lt;&gt;""))</f>
        <v>01100-PP-SCHWARZ</v>
      </c>
      <c r="K22" s="28">
        <f t="shared" ref="K22:K29" si="5">SUMIF($D$5:$D$17,D22,$K$5:$K$17)</f>
        <v>17.598702308496662</v>
      </c>
      <c r="M22" s="32">
        <f>SUMIF($D$5:$D$15,D22,$B$5:$B$15)</f>
        <v>140</v>
      </c>
    </row>
    <row r="23" spans="1:13" x14ac:dyDescent="0.35">
      <c r="D23" t="str">
        <v>00550-PES-SCHWARZ</v>
      </c>
      <c r="K23" s="28">
        <f t="shared" si="5"/>
        <v>0.22900715875271471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15</v>
      </c>
      <c r="K30" s="15">
        <f>K16+K17</f>
        <v>3.2722905327506235</v>
      </c>
      <c r="M30">
        <v>1</v>
      </c>
    </row>
    <row r="31" spans="1:13" x14ac:dyDescent="0.35">
      <c r="A31" t="s">
        <v>64</v>
      </c>
      <c r="D31" t="s">
        <v>30</v>
      </c>
      <c r="K31">
        <f>SUMIF(D5:D13,D31,K5:K13)</f>
        <v>17.598702308496662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5845C3-DD1F-4F26-94B9-B162B54382B3}">
          <x14:formula1>
            <xm:f>#REF!</xm:f>
          </x14:formula1>
          <xm:sqref>D5:D17 D29:D30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E675-6A70-40E8-A741-72D456080515}">
  <sheetPr codeName="Sheet8"/>
  <dimension ref="A1:M31"/>
  <sheetViews>
    <sheetView topLeftCell="A21" workbookViewId="0">
      <selection activeCell="D31" sqref="D31"/>
    </sheetView>
  </sheetViews>
  <sheetFormatPr defaultColWidth="11.7265625" defaultRowHeight="14.5" x14ac:dyDescent="0.35"/>
  <cols>
    <col min="1" max="1" width="18.26953125" bestFit="1" customWidth="1"/>
    <col min="4" max="4" width="27.8164062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5.269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7617025-000-00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26</v>
      </c>
      <c r="G2" s="8"/>
      <c r="K2" s="21" t="s">
        <v>38</v>
      </c>
    </row>
    <row r="3" spans="1:13" x14ac:dyDescent="0.35">
      <c r="A3" t="s">
        <v>39</v>
      </c>
      <c r="D3" s="4">
        <v>460</v>
      </c>
      <c r="G3" s="5" t="s">
        <v>40</v>
      </c>
      <c r="K3" s="20">
        <v>33.1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168</v>
      </c>
      <c r="C5" s="7">
        <f t="shared" ref="C5:C17" si="0">IFERROR(VALUE(LEFT(D5,5)),)</f>
        <v>1670</v>
      </c>
      <c r="D5" s="7" t="s">
        <v>19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105</v>
      </c>
      <c r="I5">
        <f>H5/100*C5/11000*B5</f>
        <v>26.780727272727272</v>
      </c>
      <c r="J5" s="19">
        <f t="shared" ref="J5:J17" si="1">IFERROR(I5/$I$20,)</f>
        <v>0.90203213520867309</v>
      </c>
      <c r="K5" s="15">
        <f>J5*$K$3*(1+$F$18)</f>
        <v>29.857263675407079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2</v>
      </c>
      <c r="E15" s="7">
        <v>1</v>
      </c>
      <c r="F15" s="14"/>
      <c r="G15" s="8" t="e">
        <f ca="1">B15*C15*E15*(1+F15)/10000*(1+$F$18)*(1+$F$19)</f>
        <v>#REF!</v>
      </c>
      <c r="H15" s="7">
        <v>391.2</v>
      </c>
      <c r="I15">
        <f t="shared" si="3"/>
        <v>0.1956</v>
      </c>
      <c r="J15" s="19">
        <f t="shared" si="1"/>
        <v>6.5882260720565022E-3</v>
      </c>
      <c r="K15" s="15">
        <f t="shared" si="4"/>
        <v>0.21807028298507022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15</v>
      </c>
      <c r="E16" s="7">
        <v>1</v>
      </c>
      <c r="F16" s="14"/>
      <c r="G16" s="8" t="e">
        <f ca="1">(C16*E16*B16*$D$2/1000*$D$3)/10000*(1+$F$18)*(1+$F$19)</f>
        <v>#REF!</v>
      </c>
      <c r="H16" s="7">
        <v>2713</v>
      </c>
      <c r="I16">
        <f>H16/100*C16/11000*B16/2</f>
        <v>2.7130000000000001</v>
      </c>
      <c r="J16" s="19">
        <f t="shared" si="1"/>
        <v>9.1379638719270406E-2</v>
      </c>
      <c r="K16" s="15">
        <f t="shared" si="4"/>
        <v>3.0246660416078508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170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29.689327272727272</v>
      </c>
      <c r="J20" s="15"/>
      <c r="K20" s="18">
        <f>SUM(K5:K17)</f>
        <v>33.1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3">_xlfn.UNIQUE(_xlfn._xlws.FILTER(D5:D15,D5:D15&lt;&gt;""))</f>
        <v>01670-PES-SCHWARZ</v>
      </c>
      <c r="K22" s="28">
        <f t="shared" ref="K22:K29" si="5">SUMIF($D$5:$D$17,D22,$K$5:$K$17)</f>
        <v>29.857263675407079</v>
      </c>
      <c r="M22" s="32">
        <f>SUMIF($D$5:$D$15,D22,$B$5:$B$15)</f>
        <v>168</v>
      </c>
    </row>
    <row r="23" spans="1:13" x14ac:dyDescent="0.35">
      <c r="D23" t="str">
        <v>00550-PES-SCHWARZ</v>
      </c>
      <c r="K23" s="28">
        <f t="shared" si="5"/>
        <v>0.21807028298507022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15</v>
      </c>
      <c r="K30" s="15">
        <f>K16+K17</f>
        <v>3.0246660416078508</v>
      </c>
      <c r="M30">
        <v>1</v>
      </c>
    </row>
    <row r="31" spans="1:13" x14ac:dyDescent="0.35">
      <c r="A31" t="s">
        <v>64</v>
      </c>
      <c r="D31" t="s">
        <v>19</v>
      </c>
      <c r="K31">
        <f>SUMIF(D5:D13,D31,K5:K13)</f>
        <v>29.857263675407079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FBE85E-6EA0-43C9-8C5A-8C33A5E0B78E}">
          <x14:formula1>
            <xm:f>#REF!</xm:f>
          </x14:formula1>
          <xm:sqref>D5:D17 D29:D30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C0048-D569-470F-8302-0C60AE0E38A1}">
  <sheetPr codeName="Sheet46"/>
  <dimension ref="A1:N31"/>
  <sheetViews>
    <sheetView topLeftCell="A18" workbookViewId="0">
      <selection activeCell="A31" sqref="A31:N31"/>
    </sheetView>
  </sheetViews>
  <sheetFormatPr defaultColWidth="11.7265625" defaultRowHeight="14.5" x14ac:dyDescent="0.35"/>
  <cols>
    <col min="1" max="1" width="18.26953125" bestFit="1" customWidth="1"/>
    <col min="4" max="4" width="29.179687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3.179687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7620050-000-00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51</v>
      </c>
      <c r="G2" s="8"/>
      <c r="K2" s="22" t="s">
        <v>38</v>
      </c>
    </row>
    <row r="3" spans="1:13" x14ac:dyDescent="0.35">
      <c r="A3" t="s">
        <v>39</v>
      </c>
      <c r="D3" s="4">
        <v>440</v>
      </c>
      <c r="G3" s="5" t="s">
        <v>40</v>
      </c>
      <c r="K3" s="20">
        <v>114.1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280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0.05</v>
      </c>
      <c r="G5" s="8">
        <f>(B5*C5*E5* (1+F5))/10000*(1+$F$18)*(1+$F$19)</f>
        <v>97.02</v>
      </c>
      <c r="H5" s="7">
        <v>105.9</v>
      </c>
      <c r="I5">
        <f>H5/100*C5/11000*B5</f>
        <v>88.956000000000031</v>
      </c>
      <c r="J5" s="19">
        <f t="shared" ref="J5:J17" si="1">IFERROR(I5/$I$20,)</f>
        <v>0.88229911939692307</v>
      </c>
      <c r="K5" s="15">
        <f>J5*$K$3*(1+$F$18)</f>
        <v>100.67032952318891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>
        <f t="shared" ref="G6:G14" si="2">(B6*C6*E6* (1+F6))/10000*(1+$F$18)*(1+$F$19)</f>
        <v>0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>
        <v>8</v>
      </c>
      <c r="C7" s="7">
        <f t="shared" si="0"/>
        <v>3300</v>
      </c>
      <c r="D7" s="7" t="s">
        <v>24</v>
      </c>
      <c r="E7" s="7">
        <v>1</v>
      </c>
      <c r="F7" s="14">
        <v>0.05</v>
      </c>
      <c r="G7" s="8">
        <f t="shared" si="2"/>
        <v>2.7719999999999998</v>
      </c>
      <c r="H7" s="7">
        <v>106.1</v>
      </c>
      <c r="I7">
        <f t="shared" si="3"/>
        <v>2.5463999999999998</v>
      </c>
      <c r="J7" s="19">
        <f t="shared" si="1"/>
        <v>2.5256154476733707E-2</v>
      </c>
      <c r="K7" s="15">
        <f t="shared" si="4"/>
        <v>2.8817272257953159</v>
      </c>
    </row>
    <row r="8" spans="1:13" x14ac:dyDescent="0.35">
      <c r="A8" t="s">
        <v>54</v>
      </c>
      <c r="B8" s="7">
        <v>36</v>
      </c>
      <c r="C8" s="7">
        <f t="shared" si="0"/>
        <v>1100</v>
      </c>
      <c r="D8" s="7" t="s">
        <v>16</v>
      </c>
      <c r="E8" s="7">
        <v>1</v>
      </c>
      <c r="F8" s="14">
        <v>0.20499999999999999</v>
      </c>
      <c r="G8" s="8">
        <f t="shared" si="2"/>
        <v>4.7717999999999998</v>
      </c>
      <c r="H8" s="7">
        <v>118.6</v>
      </c>
      <c r="I8">
        <f t="shared" si="3"/>
        <v>4.2695999999999996</v>
      </c>
      <c r="J8" s="19">
        <f t="shared" si="1"/>
        <v>4.2347501238557274E-2</v>
      </c>
      <c r="K8" s="15">
        <f t="shared" si="4"/>
        <v>4.8318498913193846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>
        <f t="shared" si="2"/>
        <v>0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>
        <f t="shared" si="2"/>
        <v>0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>
        <f t="shared" si="2"/>
        <v>0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>
        <f t="shared" si="2"/>
        <v>0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>
        <f t="shared" si="2"/>
        <v>0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>
        <f t="shared" si="2"/>
        <v>0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>
        <f>B15*C15*E15*(1+F15)/10000*(1+$F$18)*(1+$F$19)</f>
        <v>5.5E-2</v>
      </c>
      <c r="H15" s="7">
        <v>374.1</v>
      </c>
      <c r="I15">
        <f t="shared" si="3"/>
        <v>0.18705000000000002</v>
      </c>
      <c r="J15" s="19">
        <f t="shared" si="1"/>
        <v>1.8552323652501733E-3</v>
      </c>
      <c r="K15" s="15">
        <f t="shared" si="4"/>
        <v>0.21168201287504476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>
        <f>(C16*E16*B16*$D$2/1000*$D$3)/10000*(1+$F$18)*(1+$F$19)</f>
        <v>4.9367999999999999</v>
      </c>
      <c r="H16" s="7">
        <v>4863.8999999999996</v>
      </c>
      <c r="I16">
        <f>H16/100*C16/11000*B16/2</f>
        <v>4.8638999999999992</v>
      </c>
      <c r="J16" s="19">
        <f t="shared" si="1"/>
        <v>4.8241992522535769E-2</v>
      </c>
      <c r="K16" s="15">
        <f t="shared" si="4"/>
        <v>5.5044113468213309</v>
      </c>
    </row>
    <row r="17" spans="1:14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4" x14ac:dyDescent="0.35">
      <c r="B18">
        <f>SUM(B5:B17)-1</f>
        <v>326</v>
      </c>
      <c r="D18" s="16" t="s">
        <v>31</v>
      </c>
      <c r="F18" s="14">
        <v>0</v>
      </c>
      <c r="G18" s="8"/>
      <c r="I18" s="15"/>
      <c r="J18" s="15"/>
    </row>
    <row r="19" spans="1:14" x14ac:dyDescent="0.35">
      <c r="B19" s="17"/>
      <c r="C19" s="13"/>
      <c r="D19" s="16" t="s">
        <v>32</v>
      </c>
      <c r="F19" s="14">
        <v>0</v>
      </c>
      <c r="G19" s="8"/>
      <c r="I19" s="15"/>
      <c r="J19" s="15"/>
    </row>
    <row r="20" spans="1:14" x14ac:dyDescent="0.35">
      <c r="D20" s="16" t="s">
        <v>61</v>
      </c>
      <c r="G20" s="18">
        <f>SUM(G5:G17)</f>
        <v>109.55560000000001</v>
      </c>
      <c r="I20" s="18">
        <f>SUM(I5:I17)</f>
        <v>100.82295000000003</v>
      </c>
      <c r="J20" s="15"/>
      <c r="K20" s="18">
        <f>SUM(K5:K17)</f>
        <v>114.09999999999998</v>
      </c>
    </row>
    <row r="21" spans="1:14" x14ac:dyDescent="0.35">
      <c r="G21" s="9"/>
      <c r="M21" t="s">
        <v>74</v>
      </c>
    </row>
    <row r="22" spans="1:14" x14ac:dyDescent="0.35">
      <c r="A22" t="s">
        <v>66</v>
      </c>
      <c r="D22" t="str" cm="1">
        <f t="array" ref="D22:D24">_xlfn.UNIQUE(_xlfn._xlws.FILTER(D5:D15,D5:D15&lt;&gt;""))</f>
        <v>03300-PES-WEISS</v>
      </c>
      <c r="K22" s="28">
        <f t="shared" ref="K22:K29" si="5">SUMIF($D$5:$D$17,D22,$K$5:$K$17)</f>
        <v>103.55205674898423</v>
      </c>
      <c r="M22" s="32">
        <f>SUMIF($D$5:$D$15,D22,$B$5:$B$15)</f>
        <v>288</v>
      </c>
    </row>
    <row r="23" spans="1:14" x14ac:dyDescent="0.35">
      <c r="D23" t="str">
        <v>01100-PES-WEISS</v>
      </c>
      <c r="K23" s="28">
        <f t="shared" si="5"/>
        <v>10.336261238140715</v>
      </c>
      <c r="M23" s="32">
        <f>SUMIF($D$5:$D$15,D23,$B$5:$B$15)</f>
        <v>36</v>
      </c>
    </row>
    <row r="24" spans="1:14" x14ac:dyDescent="0.35">
      <c r="D24" t="str">
        <v>00550-PES-WEISS</v>
      </c>
      <c r="K24" s="28">
        <f t="shared" si="5"/>
        <v>0.21168201287504476</v>
      </c>
      <c r="M24" s="32">
        <f>SUMIF($D$5:$D$15,D24,$B$5:$B$15)</f>
        <v>1</v>
      </c>
    </row>
    <row r="25" spans="1:14" x14ac:dyDescent="0.35">
      <c r="K25" s="28">
        <f t="shared" si="5"/>
        <v>0</v>
      </c>
      <c r="M25" s="32">
        <f>SUMIF($D$5:$D$15,D25,$B$5:$B$15)</f>
        <v>0</v>
      </c>
    </row>
    <row r="26" spans="1:14" x14ac:dyDescent="0.35">
      <c r="K26" s="28">
        <f t="shared" si="5"/>
        <v>0</v>
      </c>
    </row>
    <row r="27" spans="1:14" x14ac:dyDescent="0.35">
      <c r="K27" s="28">
        <f t="shared" si="5"/>
        <v>0</v>
      </c>
    </row>
    <row r="28" spans="1:14" x14ac:dyDescent="0.35">
      <c r="K28" s="28">
        <f t="shared" si="5"/>
        <v>0</v>
      </c>
    </row>
    <row r="29" spans="1:14" x14ac:dyDescent="0.35">
      <c r="K29" s="28">
        <f t="shared" si="5"/>
        <v>0</v>
      </c>
    </row>
    <row r="30" spans="1:14" x14ac:dyDescent="0.35">
      <c r="A30" t="s">
        <v>63</v>
      </c>
      <c r="D30" t="s">
        <v>16</v>
      </c>
      <c r="K30" s="15">
        <f>K16+K17</f>
        <v>5.5044113468213309</v>
      </c>
      <c r="M30">
        <v>1</v>
      </c>
    </row>
    <row r="31" spans="1:14" x14ac:dyDescent="0.35">
      <c r="A31" t="s">
        <v>64</v>
      </c>
      <c r="D31" t="s">
        <v>24</v>
      </c>
      <c r="K31">
        <f>SUMIF(D5:D13,D31,K5:K13)</f>
        <v>103.55205674898423</v>
      </c>
      <c r="N31">
        <f>SUMIF(G5:G13,D31,N5:N13)</f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DC4D10-2C8E-4CD8-A3B1-CCBB5922BCD5}">
          <x14:formula1>
            <xm:f>#REF!</xm:f>
          </x14:formula1>
          <xm:sqref>D29:D30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A2AAD-7A73-4368-9F8D-5AD4F8BFDD07}">
  <sheetPr codeName="Sheet7">
    <tabColor theme="0"/>
  </sheetPr>
  <dimension ref="A1:T31"/>
  <sheetViews>
    <sheetView topLeftCell="J1" workbookViewId="0">
      <selection activeCell="Q10" sqref="Q10"/>
    </sheetView>
  </sheetViews>
  <sheetFormatPr defaultColWidth="11.7265625" defaultRowHeight="14.5" x14ac:dyDescent="0.35"/>
  <cols>
    <col min="1" max="1" width="18.26953125" bestFit="1" customWidth="1"/>
    <col min="4" max="4" width="27.8164062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4.453125" customWidth="1"/>
  </cols>
  <sheetData>
    <row r="1" spans="1:20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7626025-000-00</v>
      </c>
      <c r="E1" s="2"/>
      <c r="F1" s="3" t="s">
        <v>80</v>
      </c>
      <c r="G1" s="8"/>
      <c r="M1" s="31" t="s">
        <v>36</v>
      </c>
    </row>
    <row r="2" spans="1:20" x14ac:dyDescent="0.35">
      <c r="A2" t="s">
        <v>37</v>
      </c>
      <c r="C2" s="6"/>
      <c r="D2" s="4">
        <v>26</v>
      </c>
      <c r="G2" s="8"/>
      <c r="K2" s="21" t="s">
        <v>38</v>
      </c>
    </row>
    <row r="3" spans="1:20" x14ac:dyDescent="0.35">
      <c r="A3" t="s">
        <v>39</v>
      </c>
      <c r="D3" s="4">
        <v>460</v>
      </c>
      <c r="G3" s="5" t="s">
        <v>40</v>
      </c>
      <c r="K3" s="20">
        <v>20.100000000000001</v>
      </c>
    </row>
    <row r="4" spans="1:20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20" x14ac:dyDescent="0.35">
      <c r="A5" t="s">
        <v>51</v>
      </c>
      <c r="B5" s="7">
        <v>88</v>
      </c>
      <c r="C5" s="7">
        <f t="shared" ref="C5:C17" si="0">IFERROR(VALUE(LEFT(D5,5)),)</f>
        <v>1670</v>
      </c>
      <c r="D5" s="7" t="s">
        <v>19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105.2</v>
      </c>
      <c r="I5">
        <f>H5/100*C5/11000*B5</f>
        <v>14.054720000000001</v>
      </c>
      <c r="J5" s="19">
        <f t="shared" ref="J5:J17" si="1">IFERROR(I5/$I$20,)</f>
        <v>0.7853128211088245</v>
      </c>
      <c r="K5" s="15">
        <f>J5*$K$3*(1+$F$18)</f>
        <v>15.784787704287373</v>
      </c>
      <c r="N5">
        <f>1.15</f>
        <v>1.1499999999999999</v>
      </c>
      <c r="P5">
        <v>0.04</v>
      </c>
      <c r="R5">
        <v>1</v>
      </c>
      <c r="T5">
        <v>1.405E-2</v>
      </c>
    </row>
    <row r="6" spans="1:20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  <c r="N6">
        <v>1.21</v>
      </c>
    </row>
    <row r="7" spans="1:20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  <c r="N7">
        <f>N6-N5</f>
        <v>6.0000000000000053E-2</v>
      </c>
      <c r="T7">
        <f>T5*N7</f>
        <v>8.4300000000000076E-4</v>
      </c>
    </row>
    <row r="8" spans="1:20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20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  <c r="P9">
        <f>P5+T7</f>
        <v>4.0843000000000004E-2</v>
      </c>
      <c r="Q9">
        <v>4.1000000000000002E-2</v>
      </c>
    </row>
    <row r="10" spans="1:20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20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20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20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20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20" x14ac:dyDescent="0.35">
      <c r="A15" t="s">
        <v>58</v>
      </c>
      <c r="B15" s="7">
        <v>1</v>
      </c>
      <c r="C15" s="7">
        <f t="shared" si="0"/>
        <v>550</v>
      </c>
      <c r="D15" s="7" t="s">
        <v>2</v>
      </c>
      <c r="E15" s="7">
        <v>1</v>
      </c>
      <c r="F15" s="14"/>
      <c r="G15" s="8" t="e">
        <f ca="1">B15*C15*E15*(1+F15)/10000*(1+$F$18)*(1+$F$19)</f>
        <v>#REF!</v>
      </c>
      <c r="H15" s="7">
        <v>396.1</v>
      </c>
      <c r="I15">
        <f t="shared" si="3"/>
        <v>0.19805</v>
      </c>
      <c r="J15" s="19">
        <f t="shared" si="1"/>
        <v>1.1066119013441938E-2</v>
      </c>
      <c r="K15" s="15">
        <f t="shared" si="4"/>
        <v>0.22242899217018297</v>
      </c>
    </row>
    <row r="16" spans="1:20" x14ac:dyDescent="0.35">
      <c r="A16" t="s">
        <v>59</v>
      </c>
      <c r="B16" s="7">
        <v>2</v>
      </c>
      <c r="C16" s="7">
        <f t="shared" si="0"/>
        <v>1100</v>
      </c>
      <c r="D16" s="12" t="s">
        <v>15</v>
      </c>
      <c r="E16" s="7">
        <v>1</v>
      </c>
      <c r="F16" s="14"/>
      <c r="G16" s="8" t="e">
        <f ca="1">(C16*E16*B16*$D$2/1000*$D$3)/10000*(1+$F$18)*(1+$F$19)</f>
        <v>#REF!</v>
      </c>
      <c r="H16" s="7">
        <v>3644.2</v>
      </c>
      <c r="I16">
        <f>H16/100*C16/11000*B16/2</f>
        <v>3.6441999999999997</v>
      </c>
      <c r="J16" s="19">
        <f t="shared" si="1"/>
        <v>0.20362105987773343</v>
      </c>
      <c r="K16" s="15">
        <f t="shared" si="4"/>
        <v>4.0927833035424426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90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17.896970000000003</v>
      </c>
      <c r="J20" s="15"/>
      <c r="K20" s="18">
        <f>SUM(K5:K17)</f>
        <v>20.099999999999998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3">_xlfn.UNIQUE(_xlfn._xlws.FILTER(D5:D15,D5:D15&lt;&gt;""))</f>
        <v>01670-PES-SCHWARZ</v>
      </c>
      <c r="K22" s="28">
        <f t="shared" ref="K22:K29" si="5">SUMIF($D$5:$D$17,D22,$K$5:$K$17)</f>
        <v>15.784787704287373</v>
      </c>
      <c r="M22" s="32">
        <f>SUMIF($D$5:$D$15,D22,$B$5:$B$15)</f>
        <v>88</v>
      </c>
    </row>
    <row r="23" spans="1:13" x14ac:dyDescent="0.35">
      <c r="D23" t="str">
        <v>00550-PES-SCHWARZ</v>
      </c>
      <c r="K23" s="28">
        <f t="shared" si="5"/>
        <v>0.22242899217018297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15</v>
      </c>
      <c r="K30" s="15">
        <f>K16+K17</f>
        <v>4.0927833035424426</v>
      </c>
      <c r="M30">
        <v>1</v>
      </c>
    </row>
    <row r="31" spans="1:13" x14ac:dyDescent="0.35">
      <c r="A31" t="s">
        <v>64</v>
      </c>
      <c r="D31" t="s">
        <v>19</v>
      </c>
      <c r="K31">
        <f>SUMIF(D5:D13,D31,K5:K13)</f>
        <v>15.784787704287373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024213-CC98-4185-9215-D6EDB6D885BB}">
          <x14:formula1>
            <xm:f>#REF!</xm:f>
          </x14:formula1>
          <xm:sqref>D5:D17 D29:D30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F19CF-D1F7-4632-B026-940A3A14A71B}">
  <sheetPr codeName="Sheet43">
    <tabColor rgb="FFFF0000"/>
  </sheetPr>
  <dimension ref="A1:M31"/>
  <sheetViews>
    <sheetView topLeftCell="A10" workbookViewId="0">
      <selection activeCell="A31" sqref="A31:K31"/>
    </sheetView>
  </sheetViews>
  <sheetFormatPr defaultColWidth="11.7265625" defaultRowHeight="14.5" x14ac:dyDescent="0.35"/>
  <cols>
    <col min="1" max="1" width="18.26953125" bestFit="1" customWidth="1"/>
    <col min="4" max="4" width="27.8164062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1.269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7632025-000-00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27</v>
      </c>
      <c r="G2" s="8"/>
      <c r="K2" s="21" t="s">
        <v>70</v>
      </c>
    </row>
    <row r="3" spans="1:13" x14ac:dyDescent="0.35">
      <c r="A3" t="s">
        <v>39</v>
      </c>
      <c r="D3" s="4">
        <v>690</v>
      </c>
      <c r="G3" s="5" t="s">
        <v>40</v>
      </c>
      <c r="K3" s="20">
        <v>18.13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80</v>
      </c>
      <c r="C5" s="7">
        <f t="shared" ref="C5:C17" si="0">IFERROR(VALUE(LEFT(D5,5)),)</f>
        <v>1670</v>
      </c>
      <c r="D5" s="7" t="s">
        <v>20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105</v>
      </c>
      <c r="I5">
        <f>H5/100*C5/11000*B5</f>
        <v>12.752727272727274</v>
      </c>
      <c r="J5" s="19">
        <f t="shared" ref="J5:J17" si="1">IFERROR(I5/$I$20,)</f>
        <v>0.78052146044534465</v>
      </c>
      <c r="K5" s="15">
        <f>J5*$K$3*(1+$F$18)</f>
        <v>14.150854077874097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432</v>
      </c>
      <c r="I15">
        <f t="shared" si="3"/>
        <v>0.216</v>
      </c>
      <c r="J15" s="19">
        <f t="shared" si="1"/>
        <v>1.3220123966482313E-2</v>
      </c>
      <c r="K15" s="15">
        <f t="shared" si="4"/>
        <v>0.23968084751232432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3370</v>
      </c>
      <c r="I16">
        <f>H16/100*C16/11000*B16/2</f>
        <v>3.37</v>
      </c>
      <c r="J16" s="19">
        <f t="shared" si="1"/>
        <v>0.20625841558817312</v>
      </c>
      <c r="K16" s="15">
        <f t="shared" si="4"/>
        <v>3.7394650746135785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82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16.338727272727272</v>
      </c>
      <c r="J20" s="15"/>
      <c r="K20" s="18">
        <f>SUM(K5:K17)</f>
        <v>18.130000000000003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3">_xlfn.UNIQUE(_xlfn._xlws.FILTER(D5:D15,D5:D15&lt;&gt;""))</f>
        <v>01670-PES-WEISS</v>
      </c>
      <c r="K22" s="28">
        <f t="shared" ref="K22:K29" si="5">SUMIF($D$5:$D$17,D22,$K$5:$K$17)</f>
        <v>14.150854077874097</v>
      </c>
      <c r="M22" s="32">
        <f>SUMIF($D$5:$D$15,D22,$B$5:$B$15)</f>
        <v>80</v>
      </c>
    </row>
    <row r="23" spans="1:13" x14ac:dyDescent="0.35">
      <c r="D23" t="str">
        <v>00550-PES-WEISS</v>
      </c>
      <c r="K23" s="28">
        <f t="shared" si="5"/>
        <v>0.23968084751232432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3.7394650746135785</v>
      </c>
      <c r="M30">
        <v>1</v>
      </c>
    </row>
    <row r="31" spans="1:13" x14ac:dyDescent="0.35">
      <c r="A31" t="s">
        <v>64</v>
      </c>
      <c r="D31" t="s">
        <v>20</v>
      </c>
      <c r="K31">
        <f>SUMIF(D5:D13,D31,K5:K13)</f>
        <v>14.150854077874097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856269E-8EE6-473A-B12D-15CF2FE2C11E}">
          <x14:formula1>
            <xm:f>#REF!</xm:f>
          </x14:formula1>
          <xm:sqref>D5:D17 D29:D30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5D9F8-8FF0-4B42-B481-B393B7F1BBC5}">
  <sheetPr codeName="Sheet44">
    <tabColor theme="0"/>
  </sheetPr>
  <dimension ref="A1:M31"/>
  <sheetViews>
    <sheetView topLeftCell="A27" workbookViewId="0">
      <selection activeCell="F40" sqref="F40"/>
    </sheetView>
  </sheetViews>
  <sheetFormatPr defaultColWidth="11.7265625" defaultRowHeight="14.5" x14ac:dyDescent="0.35"/>
  <cols>
    <col min="1" max="1" width="18.26953125" bestFit="1" customWidth="1"/>
    <col min="4" max="4" width="30.179687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1.269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7633025-042-00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27</v>
      </c>
      <c r="G2" s="8"/>
      <c r="K2" s="21" t="s">
        <v>38</v>
      </c>
    </row>
    <row r="3" spans="1:13" x14ac:dyDescent="0.35">
      <c r="A3" t="s">
        <v>39</v>
      </c>
      <c r="D3" s="4">
        <v>590</v>
      </c>
      <c r="G3" s="5" t="s">
        <v>40</v>
      </c>
      <c r="K3" s="20">
        <v>18.399999999999999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76</v>
      </c>
      <c r="C5" s="7">
        <f t="shared" ref="C5:C17" si="0">IFERROR(VALUE(LEFT(D5,5)),)</f>
        <v>1670</v>
      </c>
      <c r="D5" s="7" t="s">
        <v>20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104.2</v>
      </c>
      <c r="I5">
        <f>H5/100*C5/11000*B5</f>
        <v>12.022785454545456</v>
      </c>
      <c r="J5" s="19">
        <f t="shared" ref="J5:J17" si="1">IFERROR(I5/$I$20,)</f>
        <v>0.73075453286638958</v>
      </c>
      <c r="K5" s="15">
        <f>J5*$K$3*(1+$F$18)</f>
        <v>13.445883404741567</v>
      </c>
    </row>
    <row r="6" spans="1:13" x14ac:dyDescent="0.35">
      <c r="A6" t="s">
        <v>52</v>
      </c>
      <c r="B6" s="7">
        <v>4</v>
      </c>
      <c r="C6" s="7">
        <f t="shared" si="0"/>
        <v>1670</v>
      </c>
      <c r="D6" s="7" t="s">
        <v>19</v>
      </c>
      <c r="E6" s="7">
        <v>1</v>
      </c>
      <c r="F6" s="14">
        <v>0.05</v>
      </c>
      <c r="G6" s="8" t="e">
        <f t="shared" ref="G6:G14" ca="1" si="2">(B6*C6*E6* (1+F6))/10000*(1+$F$18)*(1+$F$19)</f>
        <v>#REF!</v>
      </c>
      <c r="H6" s="7">
        <v>104.2</v>
      </c>
      <c r="I6">
        <f t="shared" ref="I6:I15" si="3">H6/100*C6/11000*B6</f>
        <v>0.63277818181818191</v>
      </c>
      <c r="J6" s="19">
        <f t="shared" si="1"/>
        <v>3.8460764887704717E-2</v>
      </c>
      <c r="K6" s="15">
        <f t="shared" ref="K6:K17" si="4">J6*$K$3*(1+$F$18)</f>
        <v>0.70767807393376669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398.6</v>
      </c>
      <c r="I15">
        <f t="shared" si="3"/>
        <v>0.1993</v>
      </c>
      <c r="J15" s="19">
        <f t="shared" si="1"/>
        <v>1.2113613683858057E-2</v>
      </c>
      <c r="K15" s="15">
        <f t="shared" si="4"/>
        <v>0.22289049178298825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3597.7</v>
      </c>
      <c r="I16">
        <f>H16/100*C16/11000*B16/2</f>
        <v>3.5976999999999997</v>
      </c>
      <c r="J16" s="19">
        <f t="shared" si="1"/>
        <v>0.21867108856204781</v>
      </c>
      <c r="K16" s="15">
        <f t="shared" si="4"/>
        <v>4.0235480295416792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82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16.452563636363635</v>
      </c>
      <c r="J20" s="15"/>
      <c r="K20" s="18">
        <f>SUM(K5:K17)</f>
        <v>18.400000000000002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4">_xlfn.UNIQUE(_xlfn._xlws.FILTER(D5:D15,D5:D15&lt;&gt;""))</f>
        <v>01670-PES-WEISS</v>
      </c>
      <c r="K22" s="28">
        <f t="shared" ref="K22:K29" si="5">SUMIF($D$5:$D$17,D22,$K$5:$K$17)</f>
        <v>13.445883404741567</v>
      </c>
      <c r="M22" s="32">
        <f>SUMIF($D$5:$D$15,D22,$B$5:$B$15)</f>
        <v>76</v>
      </c>
    </row>
    <row r="23" spans="1:13" x14ac:dyDescent="0.35">
      <c r="D23" t="str">
        <v>01670-PES-SCHWARZ</v>
      </c>
      <c r="K23" s="28">
        <f t="shared" si="5"/>
        <v>0.70767807393376669</v>
      </c>
      <c r="M23" s="32">
        <f>SUMIF($D$5:$D$15,D23,$B$5:$B$15)</f>
        <v>4</v>
      </c>
    </row>
    <row r="24" spans="1:13" x14ac:dyDescent="0.35">
      <c r="D24" t="str">
        <v>00550-PES-WEISS</v>
      </c>
      <c r="K24" s="28">
        <f t="shared" si="5"/>
        <v>0.22289049178298825</v>
      </c>
      <c r="M24" s="32">
        <f>SUMIF($D$5:$D$15,D24,$B$5:$B$15)</f>
        <v>1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  <c r="M26" s="32"/>
    </row>
    <row r="27" spans="1:13" x14ac:dyDescent="0.35">
      <c r="K27" s="28">
        <f t="shared" si="5"/>
        <v>0</v>
      </c>
      <c r="M27" s="32"/>
    </row>
    <row r="28" spans="1:13" x14ac:dyDescent="0.35">
      <c r="K28" s="28">
        <f t="shared" si="5"/>
        <v>0</v>
      </c>
      <c r="M28" s="32"/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4.0235480295416792</v>
      </c>
      <c r="M30">
        <v>1</v>
      </c>
    </row>
    <row r="31" spans="1:13" x14ac:dyDescent="0.35">
      <c r="A31" t="s">
        <v>64</v>
      </c>
      <c r="D31" t="s">
        <v>20</v>
      </c>
      <c r="K31">
        <f>SUMIF(D5:D13,D31,K5:K13)</f>
        <v>13.445883404741567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2E901-66A7-4194-9334-A25B4D4E7F8C}">
          <x14:formula1>
            <xm:f>#REF!</xm:f>
          </x14:formula1>
          <xm:sqref>D5:D17 D29:D30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CD1FC-F0D2-4946-B047-897A49E11B1C}">
  <sheetPr codeName="Sheet45"/>
  <dimension ref="A1:M31"/>
  <sheetViews>
    <sheetView topLeftCell="A29" workbookViewId="0">
      <selection activeCell="I35" sqref="I35"/>
    </sheetView>
  </sheetViews>
  <sheetFormatPr defaultColWidth="11.7265625" defaultRowHeight="14.5" x14ac:dyDescent="0.35"/>
  <cols>
    <col min="1" max="1" width="18.26953125" bestFit="1" customWidth="1"/>
    <col min="4" max="4" width="27.8164062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5.269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7634038-000-00</v>
      </c>
      <c r="E1" s="25" t="s">
        <v>81</v>
      </c>
      <c r="F1" s="26"/>
      <c r="G1" s="8"/>
      <c r="M1" s="31" t="s">
        <v>36</v>
      </c>
    </row>
    <row r="2" spans="1:13" x14ac:dyDescent="0.35">
      <c r="A2" t="s">
        <v>37</v>
      </c>
      <c r="C2" s="6"/>
      <c r="D2" s="4">
        <v>39.5</v>
      </c>
      <c r="G2" s="8"/>
      <c r="K2" s="21" t="s">
        <v>38</v>
      </c>
    </row>
    <row r="3" spans="1:13" x14ac:dyDescent="0.35">
      <c r="A3" t="s">
        <v>39</v>
      </c>
      <c r="D3" s="4">
        <v>470</v>
      </c>
      <c r="G3" s="5" t="s">
        <v>40</v>
      </c>
      <c r="K3" s="20">
        <v>64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136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105.9</v>
      </c>
      <c r="I5">
        <f>H5/100*C5/11000*B5</f>
        <v>43.207200000000014</v>
      </c>
      <c r="J5" s="19">
        <f t="shared" ref="J5:J17" si="1">IFERROR(I5/$I$20,)</f>
        <v>0.84297273964384489</v>
      </c>
      <c r="K5" s="15">
        <f>J5*$K$3*(1+$F$18)</f>
        <v>53.950255337206073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32</v>
      </c>
      <c r="C8" s="7">
        <f t="shared" si="0"/>
        <v>1100</v>
      </c>
      <c r="D8" s="7" t="s">
        <v>16</v>
      </c>
      <c r="E8" s="7">
        <v>1</v>
      </c>
      <c r="F8" s="14">
        <v>0.16</v>
      </c>
      <c r="G8" s="8" t="e">
        <f t="shared" ca="1" si="2"/>
        <v>#REF!</v>
      </c>
      <c r="H8" s="7">
        <v>114.5</v>
      </c>
      <c r="I8">
        <f t="shared" si="3"/>
        <v>3.6640000000000001</v>
      </c>
      <c r="J8" s="19">
        <f t="shared" si="1"/>
        <v>7.1484662696380388E-2</v>
      </c>
      <c r="K8" s="15">
        <f t="shared" si="4"/>
        <v>4.5750184125683448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377.1</v>
      </c>
      <c r="I15">
        <f t="shared" si="3"/>
        <v>0.18855000000000002</v>
      </c>
      <c r="J15" s="19">
        <f t="shared" si="1"/>
        <v>3.678611667959204E-3</v>
      </c>
      <c r="K15" s="15">
        <f t="shared" si="4"/>
        <v>0.23543114674938906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4196</v>
      </c>
      <c r="I16">
        <f>H16/100*C16/11000*B16/2</f>
        <v>4.1959999999999997</v>
      </c>
      <c r="J16" s="19">
        <f t="shared" si="1"/>
        <v>8.1863985991815533E-2</v>
      </c>
      <c r="K16" s="15">
        <f t="shared" si="4"/>
        <v>5.2392951034761941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170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51.255750000000013</v>
      </c>
      <c r="J20" s="15"/>
      <c r="K20" s="18">
        <f>SUM(K5:K17)</f>
        <v>64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4">_xlfn.UNIQUE(_xlfn._xlws.FILTER(D5:D15,D5:D15&lt;&gt;""))</f>
        <v>03300-PES-WEISS</v>
      </c>
      <c r="K22" s="28">
        <f t="shared" ref="K22:K29" si="5">SUMIF($D$5:$D$17,D22,$K$5:$K$17)</f>
        <v>53.950255337206073</v>
      </c>
      <c r="M22" s="32">
        <f>SUMIF($D$5:$D$15,D22,$B$5:$B$15)</f>
        <v>136</v>
      </c>
    </row>
    <row r="23" spans="1:13" x14ac:dyDescent="0.35">
      <c r="D23" t="str">
        <v>01100-PES-WEISS</v>
      </c>
      <c r="K23" s="28">
        <f t="shared" si="5"/>
        <v>9.8143135160445389</v>
      </c>
      <c r="M23" s="32">
        <f>SUMIF($D$5:$D$15,D23,$B$5:$B$15)</f>
        <v>32</v>
      </c>
    </row>
    <row r="24" spans="1:13" x14ac:dyDescent="0.35">
      <c r="D24" t="str">
        <v>00550-PES-WEISS</v>
      </c>
      <c r="K24" s="28">
        <f t="shared" si="5"/>
        <v>0.23543114674938906</v>
      </c>
      <c r="M24" s="32">
        <f>SUMIF($D$5:$D$15,D24,$B$5:$B$15)</f>
        <v>1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5.2392951034761941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53.950255337206073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F5271D-0A55-4890-A431-D71A265E2C5F}">
          <x14:formula1>
            <xm:f>#REF!</xm:f>
          </x14:formula1>
          <xm:sqref>D5:D17 D29:D30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75783-769C-42AD-9212-E4551794EF79}">
  <sheetPr codeName="Sheet55">
    <tabColor rgb="FF00B050"/>
  </sheetPr>
  <dimension ref="A1:M31"/>
  <sheetViews>
    <sheetView workbookViewId="0">
      <selection activeCell="D5" sqref="D5"/>
    </sheetView>
  </sheetViews>
  <sheetFormatPr defaultColWidth="11.7265625" defaultRowHeight="14.5" x14ac:dyDescent="0.35"/>
  <cols>
    <col min="1" max="1" width="18.26953125" bestFit="1" customWidth="1"/>
    <col min="4" max="4" width="27.8164062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4.7265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7695038-000-00</v>
      </c>
      <c r="E1" s="25" t="s">
        <v>81</v>
      </c>
      <c r="F1" s="26"/>
      <c r="G1" s="8"/>
      <c r="M1" s="31" t="s">
        <v>36</v>
      </c>
    </row>
    <row r="2" spans="1:13" x14ac:dyDescent="0.35">
      <c r="A2" t="s">
        <v>37</v>
      </c>
      <c r="C2" s="6"/>
      <c r="D2" s="4">
        <v>39.5</v>
      </c>
      <c r="G2" s="8"/>
      <c r="K2" s="21" t="s">
        <v>38</v>
      </c>
    </row>
    <row r="3" spans="1:13" x14ac:dyDescent="0.35">
      <c r="A3" t="s">
        <v>39</v>
      </c>
      <c r="D3" s="4">
        <v>470</v>
      </c>
      <c r="G3" s="5" t="s">
        <v>40</v>
      </c>
      <c r="K3" s="20">
        <v>64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152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105.9</v>
      </c>
      <c r="I5">
        <f>H5/100*C5/11000*B5</f>
        <v>48.290400000000012</v>
      </c>
      <c r="J5" s="19">
        <f t="shared" ref="J5:J17" si="1">IFERROR(I5/$I$20,)</f>
        <v>0.8519462373274268</v>
      </c>
      <c r="K5" s="15">
        <f>J5*$K$3*(1+$F$18)</f>
        <v>54.524559188955315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>
        <v>35</v>
      </c>
      <c r="C8" s="7">
        <f t="shared" si="0"/>
        <v>1100</v>
      </c>
      <c r="D8" s="7" t="s">
        <v>16</v>
      </c>
      <c r="E8" s="7">
        <v>1</v>
      </c>
      <c r="F8" s="14">
        <v>0.16</v>
      </c>
      <c r="G8" s="8" t="e">
        <f t="shared" ca="1" si="2"/>
        <v>#REF!</v>
      </c>
      <c r="H8" s="7">
        <v>114.5</v>
      </c>
      <c r="I8">
        <f t="shared" si="3"/>
        <v>4.0075000000000003</v>
      </c>
      <c r="J8" s="19">
        <f t="shared" si="1"/>
        <v>7.0700895956332152E-2</v>
      </c>
      <c r="K8" s="15">
        <f t="shared" si="4"/>
        <v>4.5248573412052577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377.1</v>
      </c>
      <c r="I15">
        <f t="shared" si="3"/>
        <v>0.18855000000000002</v>
      </c>
      <c r="J15" s="19">
        <f t="shared" si="1"/>
        <v>3.3264264335786473E-3</v>
      </c>
      <c r="K15" s="15">
        <f t="shared" si="4"/>
        <v>0.21289129174903343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4196</v>
      </c>
      <c r="I16">
        <f>H16/100*C16/11000*B16/2</f>
        <v>4.1959999999999997</v>
      </c>
      <c r="J16" s="19">
        <f t="shared" si="1"/>
        <v>7.4026440282662434E-2</v>
      </c>
      <c r="K16" s="15">
        <f t="shared" si="4"/>
        <v>4.7376921780903958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189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56.68245000000001</v>
      </c>
      <c r="J20" s="15"/>
      <c r="K20" s="18">
        <f>SUM(K5:K17)</f>
        <v>64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4">_xlfn.UNIQUE(_xlfn._xlws.FILTER(D5:D15,D5:D15&lt;&gt;""))</f>
        <v>03300-PES-WEISS</v>
      </c>
      <c r="K22" s="28">
        <f t="shared" ref="K22:K29" si="5">SUMIF($D$5:$D$17,D22,$K$5:$K$17)</f>
        <v>54.524559188955315</v>
      </c>
      <c r="M22" s="32">
        <f>SUMIF($D$5:$D$15,D22,$B$5:$B$15)</f>
        <v>152</v>
      </c>
    </row>
    <row r="23" spans="1:13" x14ac:dyDescent="0.35">
      <c r="D23" t="str">
        <v>01100-PES-WEISS</v>
      </c>
      <c r="K23" s="28">
        <f t="shared" si="5"/>
        <v>9.2625495192956535</v>
      </c>
      <c r="M23" s="32">
        <f>SUMIF($D$5:$D$15,D23,$B$5:$B$15)</f>
        <v>35</v>
      </c>
    </row>
    <row r="24" spans="1:13" x14ac:dyDescent="0.35">
      <c r="D24" t="str">
        <v>00550-PES-WEISS</v>
      </c>
      <c r="K24" s="28">
        <f t="shared" si="5"/>
        <v>0.21289129174903343</v>
      </c>
      <c r="M24" s="32">
        <f>SUMIF($D$5:$D$15,D24,$B$5:$B$15)</f>
        <v>1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4.7376921780903958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54.524559188955315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8A5A2-DEDF-4AF9-9E26-B78D6E274C58}">
          <x14:formula1>
            <xm:f>#REF!</xm:f>
          </x14:formula1>
          <xm:sqref>D5:D17 D29:D30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CDA2B-DB12-45BD-9115-3E46DA635D13}">
  <sheetPr codeName="Sheet52"/>
  <dimension ref="A1:M31"/>
  <sheetViews>
    <sheetView workbookViewId="0">
      <selection activeCell="H6" sqref="A6:XFD6"/>
    </sheetView>
  </sheetViews>
  <sheetFormatPr defaultColWidth="11.7265625" defaultRowHeight="14.5" x14ac:dyDescent="0.35"/>
  <cols>
    <col min="1" max="1" width="18.26953125" bestFit="1" customWidth="1"/>
    <col min="4" max="4" width="27.8164062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3.179687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6568025-000-01</v>
      </c>
      <c r="E1" s="25"/>
      <c r="F1" s="26"/>
      <c r="G1" s="8"/>
      <c r="M1" s="31" t="s">
        <v>36</v>
      </c>
    </row>
    <row r="2" spans="1:13" x14ac:dyDescent="0.35">
      <c r="A2" t="s">
        <v>37</v>
      </c>
      <c r="C2" s="6"/>
      <c r="D2" s="1">
        <v>25.2</v>
      </c>
      <c r="G2" s="8"/>
      <c r="K2" s="21" t="s">
        <v>38</v>
      </c>
    </row>
    <row r="3" spans="1:13" x14ac:dyDescent="0.35">
      <c r="A3" t="s">
        <v>39</v>
      </c>
      <c r="D3" s="1">
        <v>510</v>
      </c>
      <c r="G3" s="5" t="s">
        <v>40</v>
      </c>
      <c r="K3" s="20">
        <v>49.8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111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112.2</v>
      </c>
      <c r="I5">
        <f>H5/100*C5/11000*B5</f>
        <v>37.3626</v>
      </c>
      <c r="J5" s="19">
        <f t="shared" ref="J5:J17" si="1">IFERROR(I5/$I$20,)</f>
        <v>0.8522518904933194</v>
      </c>
      <c r="K5" s="15">
        <f>J5*$K$3*(1+$F$18)</f>
        <v>42.442144146567301</v>
      </c>
    </row>
    <row r="6" spans="1:13" x14ac:dyDescent="0.35">
      <c r="A6" t="s">
        <v>52</v>
      </c>
      <c r="B6" s="7">
        <v>1</v>
      </c>
      <c r="C6" s="7">
        <f t="shared" si="0"/>
        <v>1670</v>
      </c>
      <c r="D6" s="7" t="s">
        <v>19</v>
      </c>
      <c r="E6" s="7"/>
      <c r="F6" s="14"/>
      <c r="G6" s="8" t="e">
        <f t="shared" ref="G6:G14" ca="1" si="2">(B6*C6*E6* (1+F6))/10000*(1+$F$18)*(1+$F$19)</f>
        <v>#REF!</v>
      </c>
      <c r="H6" s="7">
        <v>112.2</v>
      </c>
      <c r="I6">
        <f t="shared" ref="I6:I15" si="3">H6/100*C6/11000*B6</f>
        <v>0.17034000000000002</v>
      </c>
      <c r="J6" s="19">
        <f t="shared" si="1"/>
        <v>3.8855054794535724E-3</v>
      </c>
      <c r="K6" s="15">
        <f t="shared" ref="K6:K17" si="4">J6*$K$3*(1+$F$18)</f>
        <v>0.19349817287678789</v>
      </c>
    </row>
    <row r="7" spans="1:13" x14ac:dyDescent="0.35">
      <c r="A7" t="s">
        <v>53</v>
      </c>
      <c r="B7" s="7">
        <v>10</v>
      </c>
      <c r="C7" s="7">
        <f t="shared" si="0"/>
        <v>3300</v>
      </c>
      <c r="D7" s="7" t="s">
        <v>24</v>
      </c>
      <c r="E7" s="7"/>
      <c r="F7" s="14"/>
      <c r="G7" s="8" t="e">
        <f t="shared" ca="1" si="2"/>
        <v>#REF!</v>
      </c>
      <c r="H7" s="7">
        <v>112.3</v>
      </c>
      <c r="I7">
        <f t="shared" si="3"/>
        <v>3.3690000000000002</v>
      </c>
      <c r="J7" s="19">
        <f t="shared" si="1"/>
        <v>7.6847880475983815E-2</v>
      </c>
      <c r="K7" s="15">
        <f t="shared" si="4"/>
        <v>3.8270244477039936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>
        <v>1</v>
      </c>
      <c r="F8" s="14">
        <v>0.16</v>
      </c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>
        <v>1</v>
      </c>
      <c r="C14" s="7">
        <f t="shared" si="0"/>
        <v>466</v>
      </c>
      <c r="D14" s="7" t="s">
        <v>1</v>
      </c>
      <c r="E14" s="7"/>
      <c r="F14" s="14"/>
      <c r="G14" s="8" t="e">
        <f t="shared" ca="1" si="2"/>
        <v>#REF!</v>
      </c>
      <c r="H14" s="7">
        <v>402.6</v>
      </c>
      <c r="I14">
        <f t="shared" si="3"/>
        <v>0.17055599999999999</v>
      </c>
      <c r="J14" s="19">
        <f t="shared" si="1"/>
        <v>3.8904325029569292E-3</v>
      </c>
      <c r="K14" s="15">
        <f t="shared" si="4"/>
        <v>0.19374353864725508</v>
      </c>
    </row>
    <row r="15" spans="1:13" x14ac:dyDescent="0.35">
      <c r="A15" t="s">
        <v>58</v>
      </c>
      <c r="B15" s="7">
        <v>1</v>
      </c>
      <c r="C15" s="7">
        <f t="shared" si="0"/>
        <v>466</v>
      </c>
      <c r="D15" s="7" t="s">
        <v>1</v>
      </c>
      <c r="E15" s="7">
        <v>1</v>
      </c>
      <c r="F15" s="14"/>
      <c r="G15" s="8" t="e">
        <f ca="1">B15*C15*E15*(1+F15)/10000*(1+$F$18)*(1+$F$19)</f>
        <v>#REF!</v>
      </c>
      <c r="H15" s="7">
        <v>746.3</v>
      </c>
      <c r="I15">
        <f t="shared" si="3"/>
        <v>0.31615981818181815</v>
      </c>
      <c r="J15" s="19">
        <f t="shared" si="1"/>
        <v>7.211698402773861E-3</v>
      </c>
      <c r="K15" s="15">
        <f t="shared" si="4"/>
        <v>0.35914258045813824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2451.1999999999998</v>
      </c>
      <c r="I16">
        <f>H16/100*C16/11000*B16/2</f>
        <v>2.4511999999999996</v>
      </c>
      <c r="J16" s="19">
        <f t="shared" si="1"/>
        <v>5.5912592645512467E-2</v>
      </c>
      <c r="K16" s="15">
        <f t="shared" si="4"/>
        <v>2.7844471137465208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125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43.839855818181817</v>
      </c>
      <c r="J20" s="15"/>
      <c r="K20" s="18">
        <f>SUM(K5:K17)</f>
        <v>49.8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4">_xlfn.UNIQUE(_xlfn._xlws.FILTER(D5:D15,D5:D15&lt;&gt;""))</f>
        <v>03300-PES-WEISS</v>
      </c>
      <c r="K22" s="28">
        <f t="shared" ref="K22:K29" si="5">SUMIF($D$5:$D$17,D22,$K$5:$K$17)</f>
        <v>46.269168594271292</v>
      </c>
      <c r="M22" s="32">
        <f>SUMIF($D$5:$D$15,D22,$B$5:$B$15)</f>
        <v>121</v>
      </c>
    </row>
    <row r="23" spans="1:13" x14ac:dyDescent="0.35">
      <c r="D23" t="str">
        <v>01670-PES-SCHWARZ</v>
      </c>
      <c r="K23" s="28">
        <f t="shared" si="5"/>
        <v>0.19349817287678789</v>
      </c>
      <c r="M23" s="32">
        <f>SUMIF($D$5:$D$15,D23,$B$5:$B$15)</f>
        <v>1</v>
      </c>
    </row>
    <row r="24" spans="1:13" x14ac:dyDescent="0.35">
      <c r="D24" t="str">
        <v>00466-PES-WEISS</v>
      </c>
      <c r="K24" s="28">
        <f t="shared" si="5"/>
        <v>0.55288611910539331</v>
      </c>
      <c r="M24" s="32">
        <f>SUMIF($D$5:$D$15,D24,$B$5:$B$15)</f>
        <v>2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2.7844471137465208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46.269168594271292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53B8A2A-E913-4D29-9EC8-704F50E2FB68}">
          <x14:formula1>
            <xm:f>#REF!</xm:f>
          </x14:formula1>
          <xm:sqref>D5:D17 D29:D30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9270D-0151-474E-B995-3E3A048430CD}">
  <sheetPr codeName="Sheet48">
    <tabColor rgb="FFFF0000"/>
  </sheetPr>
  <dimension ref="A1:M31"/>
  <sheetViews>
    <sheetView topLeftCell="A18" workbookViewId="0">
      <selection activeCell="A31" sqref="A31:K31"/>
    </sheetView>
  </sheetViews>
  <sheetFormatPr defaultColWidth="11.7265625" defaultRowHeight="14.5" x14ac:dyDescent="0.35"/>
  <cols>
    <col min="1" max="1" width="18.26953125" bestFit="1" customWidth="1"/>
    <col min="4" max="4" width="27.8164062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5.81640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5999089-000-00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93</v>
      </c>
      <c r="G2" s="8"/>
      <c r="K2" s="21" t="s">
        <v>38</v>
      </c>
    </row>
    <row r="3" spans="1:13" x14ac:dyDescent="0.35">
      <c r="A3" t="s">
        <v>39</v>
      </c>
      <c r="D3" s="4">
        <v>570</v>
      </c>
      <c r="G3" s="5" t="s">
        <v>40</v>
      </c>
      <c r="K3" s="20">
        <v>130.35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105</v>
      </c>
      <c r="C5" s="7">
        <f t="shared" ref="C5:C17" si="0">IFERROR(VALUE(LEFT(D5,5)),)</f>
        <v>2800</v>
      </c>
      <c r="D5" s="7" t="s">
        <v>23</v>
      </c>
      <c r="E5" s="7">
        <v>3</v>
      </c>
      <c r="F5" s="14">
        <v>0.19</v>
      </c>
      <c r="G5" s="8" t="e">
        <f ca="1">(B5*C5*E5* (1+F5))/10000*(1+$F$18)*(1+$F$19)</f>
        <v>#REF!</v>
      </c>
      <c r="H5" s="7">
        <v>117</v>
      </c>
      <c r="I5">
        <f>H5/100*C5/11000*B5</f>
        <v>31.27090909090909</v>
      </c>
      <c r="J5" s="19">
        <f t="shared" ref="J5:J17" si="1">IFERROR(I5/$I$20,)</f>
        <v>0.59518929660072817</v>
      </c>
      <c r="K5" s="15">
        <f>J5*$K$3*(1+$F$18)</f>
        <v>77.582924811904917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940</v>
      </c>
      <c r="D15" s="7" t="s">
        <v>10</v>
      </c>
      <c r="E15" s="7">
        <v>1</v>
      </c>
      <c r="F15" s="14"/>
      <c r="G15" s="8" t="e">
        <f ca="1">B15*C15*E15*(1+F15)/10000*(1+$F$18)*(1+$F$19)</f>
        <v>#REF!</v>
      </c>
      <c r="H15" s="7">
        <v>502.7</v>
      </c>
      <c r="I15">
        <f t="shared" si="3"/>
        <v>0.42958000000000002</v>
      </c>
      <c r="J15" s="19">
        <f t="shared" si="1"/>
        <v>8.1763346658850784E-3</v>
      </c>
      <c r="K15" s="15">
        <f t="shared" si="4"/>
        <v>1.06578522369812</v>
      </c>
    </row>
    <row r="16" spans="1:13" x14ac:dyDescent="0.35">
      <c r="A16" t="s">
        <v>59</v>
      </c>
      <c r="B16" s="7">
        <v>2</v>
      </c>
      <c r="C16" s="7">
        <f t="shared" si="0"/>
        <v>1880</v>
      </c>
      <c r="D16" s="12" t="s">
        <v>21</v>
      </c>
      <c r="E16" s="7">
        <v>1</v>
      </c>
      <c r="F16" s="14"/>
      <c r="G16" s="8" t="e">
        <f ca="1">(C16*E16*B16*$D$2/1000*$D$3)/10000*(1+$F$18)*(1+$F$19)</f>
        <v>#REF!</v>
      </c>
      <c r="H16" s="7">
        <v>12193</v>
      </c>
      <c r="I16">
        <f>H16/100*C16/11000*B16/2</f>
        <v>20.838945454545456</v>
      </c>
      <c r="J16" s="19">
        <f t="shared" si="1"/>
        <v>0.39663436873338676</v>
      </c>
      <c r="K16" s="15">
        <f t="shared" si="4"/>
        <v>51.701289964396963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107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52.539434545454547</v>
      </c>
      <c r="J20" s="15"/>
      <c r="K20" s="18">
        <f>SUM(K5:K17)</f>
        <v>130.35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3">_xlfn.UNIQUE(_xlfn._xlws.FILTER(D5:D15,D5:D15&lt;&gt;""))</f>
        <v>02800-PA6-WEISS</v>
      </c>
      <c r="K22" s="28">
        <f t="shared" ref="K22:K29" si="5">SUMIF($D$5:$D$17,D22,$K$5:$K$17)</f>
        <v>77.582924811904917</v>
      </c>
      <c r="M22" s="32">
        <f>SUMIF($D$5:$D$15,D22,$B$5:$B$15)</f>
        <v>105</v>
      </c>
    </row>
    <row r="23" spans="1:13" x14ac:dyDescent="0.35">
      <c r="D23" t="str">
        <v>00940-PA6-WEISS</v>
      </c>
      <c r="K23" s="28">
        <f t="shared" si="5"/>
        <v>1.06578522369812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21</v>
      </c>
      <c r="K30" s="15">
        <f>K16+K17</f>
        <v>51.701289964396963</v>
      </c>
      <c r="M30">
        <v>1</v>
      </c>
    </row>
    <row r="31" spans="1:13" x14ac:dyDescent="0.35">
      <c r="A31" t="s">
        <v>64</v>
      </c>
      <c r="D31" t="s">
        <v>23</v>
      </c>
      <c r="K31">
        <f>SUMIF(D5:D13,D31,K5:K13)</f>
        <v>77.582924811904917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1B328E-2373-4020-A674-1C8040393DBD}">
          <x14:formula1>
            <xm:f>#REF!</xm:f>
          </x14:formula1>
          <xm:sqref>D5:D17 D29:D30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18464-171C-4C20-B8CB-0804123B5511}">
  <sheetPr codeName="Sheet47">
    <tabColor rgb="FFFF0000"/>
  </sheetPr>
  <dimension ref="A1:M31"/>
  <sheetViews>
    <sheetView topLeftCell="A18" workbookViewId="0">
      <selection activeCell="A31" sqref="A31:K31"/>
    </sheetView>
  </sheetViews>
  <sheetFormatPr defaultColWidth="11.7265625" defaultRowHeight="14.5" x14ac:dyDescent="0.35"/>
  <cols>
    <col min="1" max="1" width="18.26953125" bestFit="1" customWidth="1"/>
    <col min="4" max="4" width="27.8164062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4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5999102-000-00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107</v>
      </c>
      <c r="G2" s="8"/>
      <c r="K2" s="21" t="s">
        <v>38</v>
      </c>
    </row>
    <row r="3" spans="1:13" x14ac:dyDescent="0.35">
      <c r="A3" t="s">
        <v>39</v>
      </c>
      <c r="D3" s="4">
        <v>570</v>
      </c>
      <c r="G3" s="5" t="s">
        <v>40</v>
      </c>
      <c r="K3" s="20">
        <v>158.19999999999999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128</v>
      </c>
      <c r="C5" s="7">
        <f t="shared" ref="C5:C17" si="0">IFERROR(VALUE(LEFT(D5,5)),)</f>
        <v>2800</v>
      </c>
      <c r="D5" s="7" t="s">
        <v>23</v>
      </c>
      <c r="E5" s="7">
        <v>3</v>
      </c>
      <c r="F5" s="14">
        <v>0.19</v>
      </c>
      <c r="G5" s="8" t="e">
        <f ca="1">(B5*C5*E5* (1+F5))/10000*(1+$F$18)*(1+$F$19)</f>
        <v>#REF!</v>
      </c>
      <c r="H5" s="7">
        <v>118.7</v>
      </c>
      <c r="I5">
        <f>H5/100*C5/11000*B5</f>
        <v>38.67461818181819</v>
      </c>
      <c r="J5" s="19">
        <f t="shared" ref="J5:J17" si="1">IFERROR(I5/$I$20,)</f>
        <v>0.6337433196902944</v>
      </c>
      <c r="K5" s="15">
        <f>J5*$K$3*(1+$F$18)</f>
        <v>100.25819317500456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940</v>
      </c>
      <c r="D15" s="7" t="s">
        <v>10</v>
      </c>
      <c r="E15" s="7">
        <v>1</v>
      </c>
      <c r="F15" s="14"/>
      <c r="G15" s="8" t="e">
        <f ca="1">B15*C15*E15*(1+F15)/10000*(1+$F$18)*(1+$F$19)</f>
        <v>#REF!</v>
      </c>
      <c r="H15" s="7">
        <v>493.5</v>
      </c>
      <c r="I15">
        <f t="shared" si="3"/>
        <v>0.42171818181818177</v>
      </c>
      <c r="J15" s="19">
        <f t="shared" si="1"/>
        <v>6.9105034020699174E-3</v>
      </c>
      <c r="K15" s="15">
        <f t="shared" si="4"/>
        <v>1.0932416382074608</v>
      </c>
    </row>
    <row r="16" spans="1:13" x14ac:dyDescent="0.35">
      <c r="A16" t="s">
        <v>59</v>
      </c>
      <c r="B16" s="7">
        <v>2</v>
      </c>
      <c r="C16" s="7">
        <f t="shared" si="0"/>
        <v>1880</v>
      </c>
      <c r="D16" s="12" t="s">
        <v>21</v>
      </c>
      <c r="E16" s="7">
        <v>1</v>
      </c>
      <c r="F16" s="14"/>
      <c r="G16" s="8" t="e">
        <f ca="1">(C16*E16*B16*$D$2/1000*$D$3)/10000*(1+$F$18)*(1+$F$19)</f>
        <v>#REF!</v>
      </c>
      <c r="H16" s="7">
        <v>12831</v>
      </c>
      <c r="I16">
        <f>H16/100*C16/11000*B16/2</f>
        <v>21.929345454545455</v>
      </c>
      <c r="J16" s="19">
        <f t="shared" si="1"/>
        <v>0.35934617690763576</v>
      </c>
      <c r="K16" s="15">
        <f t="shared" si="4"/>
        <v>56.848565186787972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130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61.025681818181823</v>
      </c>
      <c r="J20" s="15"/>
      <c r="K20" s="18">
        <f>SUM(K5:K17)</f>
        <v>158.19999999999999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3">_xlfn.UNIQUE(_xlfn._xlws.FILTER(D5:D15,D5:D15&lt;&gt;""))</f>
        <v>02800-PA6-WEISS</v>
      </c>
      <c r="K22" s="28">
        <f t="shared" ref="K22:K29" si="5">SUMIF($D$5:$D$17,D22,$K$5:$K$17)</f>
        <v>100.25819317500456</v>
      </c>
      <c r="M22" s="32">
        <f>SUMIF($D$5:$D$15,D22,$B$5:$B$15)</f>
        <v>128</v>
      </c>
    </row>
    <row r="23" spans="1:13" x14ac:dyDescent="0.35">
      <c r="D23" t="str">
        <v>00940-PA6-WEISS</v>
      </c>
      <c r="K23" s="28">
        <f t="shared" si="5"/>
        <v>1.0932416382074608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  <c r="M26" s="32"/>
    </row>
    <row r="27" spans="1:13" x14ac:dyDescent="0.35">
      <c r="K27" s="28">
        <f t="shared" si="5"/>
        <v>0</v>
      </c>
      <c r="M27" s="32"/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21</v>
      </c>
      <c r="K30" s="15">
        <f>K16+K17</f>
        <v>56.848565186787972</v>
      </c>
      <c r="M30">
        <v>1</v>
      </c>
    </row>
    <row r="31" spans="1:13" x14ac:dyDescent="0.35">
      <c r="A31" t="s">
        <v>64</v>
      </c>
      <c r="D31" t="s">
        <v>23</v>
      </c>
      <c r="K31">
        <f>SUMIF(D5:D13,D31,K5:K13)</f>
        <v>100.25819317500456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DFB2D3-0995-40A8-9FA5-365E8D7DD49D}">
          <x14:formula1>
            <xm:f>#REF!</xm:f>
          </x14:formula1>
          <xm:sqref>D5:D17 D29:D30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2EA0-C48F-4F07-AE42-1839D109913F}">
  <sheetPr codeName="Sheet49"/>
  <dimension ref="A1:M31"/>
  <sheetViews>
    <sheetView topLeftCell="A18" workbookViewId="0">
      <selection activeCell="A31" sqref="A31:K31"/>
    </sheetView>
  </sheetViews>
  <sheetFormatPr defaultColWidth="11.7265625" defaultRowHeight="14.5" x14ac:dyDescent="0.35"/>
  <cols>
    <col min="1" max="1" width="18.26953125" bestFit="1" customWidth="1"/>
    <col min="4" max="4" width="27.81640625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2.816406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5999051-000-00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55.5</v>
      </c>
      <c r="G2" s="8"/>
      <c r="K2" s="21" t="s">
        <v>38</v>
      </c>
    </row>
    <row r="3" spans="1:13" x14ac:dyDescent="0.35">
      <c r="A3" t="s">
        <v>39</v>
      </c>
      <c r="D3" s="4">
        <v>570</v>
      </c>
      <c r="G3" s="5" t="s">
        <v>40</v>
      </c>
      <c r="K3" s="20">
        <v>75.099999999999994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61</v>
      </c>
      <c r="C5" s="7">
        <f t="shared" ref="C5:C17" si="0">IFERROR(VALUE(LEFT(D5,5)),)</f>
        <v>2800</v>
      </c>
      <c r="D5" s="7" t="s">
        <v>23</v>
      </c>
      <c r="E5" s="7">
        <v>3</v>
      </c>
      <c r="F5" s="14">
        <v>0.19</v>
      </c>
      <c r="G5" s="8" t="e">
        <f ca="1">(B5*C5*E5* (1+F5))/10000*(1+$F$18)*(1+$F$19)</f>
        <v>#REF!</v>
      </c>
      <c r="H5" s="7">
        <v>112.8</v>
      </c>
      <c r="I5">
        <f>H5/100*C5/11000*B5</f>
        <v>17.514763636363632</v>
      </c>
      <c r="J5" s="19">
        <f t="shared" ref="J5:J17" si="1">IFERROR(I5/$I$20,)</f>
        <v>0.57612358997855273</v>
      </c>
      <c r="K5" s="15">
        <f>J5*$K$3*(1+$F$18)</f>
        <v>43.266881607389308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/>
      <c r="C7" s="7">
        <f t="shared" si="0"/>
        <v>0</v>
      </c>
      <c r="D7" s="7"/>
      <c r="E7" s="7"/>
      <c r="F7" s="14"/>
      <c r="G7" s="8" t="e">
        <f t="shared" ca="1" si="2"/>
        <v>#REF!</v>
      </c>
      <c r="H7" s="7"/>
      <c r="I7">
        <f t="shared" si="3"/>
        <v>0</v>
      </c>
      <c r="J7" s="19">
        <f t="shared" si="1"/>
        <v>0</v>
      </c>
      <c r="K7" s="15">
        <f t="shared" si="4"/>
        <v>0</v>
      </c>
    </row>
    <row r="8" spans="1:13" x14ac:dyDescent="0.35">
      <c r="A8" t="s">
        <v>54</v>
      </c>
      <c r="B8" s="7"/>
      <c r="C8" s="7">
        <f t="shared" si="0"/>
        <v>0</v>
      </c>
      <c r="D8" s="7"/>
      <c r="E8" s="7"/>
      <c r="F8" s="14"/>
      <c r="G8" s="8" t="e">
        <f t="shared" ca="1" si="2"/>
        <v>#REF!</v>
      </c>
      <c r="H8" s="7"/>
      <c r="I8">
        <f t="shared" si="3"/>
        <v>0</v>
      </c>
      <c r="J8" s="19">
        <f t="shared" si="1"/>
        <v>0</v>
      </c>
      <c r="K8" s="15">
        <f t="shared" si="4"/>
        <v>0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940</v>
      </c>
      <c r="D15" s="7" t="s">
        <v>10</v>
      </c>
      <c r="E15" s="7">
        <v>1</v>
      </c>
      <c r="F15" s="14"/>
      <c r="G15" s="8" t="e">
        <f ca="1">B15*C15*E15*(1+F15)/10000*(1+$F$18)*(1+$F$19)</f>
        <v>#REF!</v>
      </c>
      <c r="H15" s="7">
        <v>530.5</v>
      </c>
      <c r="I15">
        <f t="shared" si="3"/>
        <v>0.45333636363636359</v>
      </c>
      <c r="J15" s="19">
        <f t="shared" si="1"/>
        <v>1.4911863997054169E-2</v>
      </c>
      <c r="K15" s="15">
        <f t="shared" si="4"/>
        <v>1.119880986178768</v>
      </c>
    </row>
    <row r="16" spans="1:13" x14ac:dyDescent="0.35">
      <c r="A16" t="s">
        <v>59</v>
      </c>
      <c r="B16" s="7">
        <v>2</v>
      </c>
      <c r="C16" s="7">
        <f t="shared" si="0"/>
        <v>1880</v>
      </c>
      <c r="D16" s="12" t="s">
        <v>21</v>
      </c>
      <c r="E16" s="7">
        <v>1</v>
      </c>
      <c r="F16" s="14"/>
      <c r="G16" s="8" t="e">
        <f ca="1">(C16*E16*B16*$D$2/1000*$D$3)/10000*(1+$F$18)*(1+$F$19)</f>
        <v>#REF!</v>
      </c>
      <c r="H16" s="7">
        <v>7274.6</v>
      </c>
      <c r="I16">
        <f>H16/100*C16/11000*B16/2</f>
        <v>12.432952727272728</v>
      </c>
      <c r="J16" s="19">
        <f t="shared" si="1"/>
        <v>0.40896454602439314</v>
      </c>
      <c r="K16" s="15">
        <f t="shared" si="4"/>
        <v>30.713237406431922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63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30.401052727272724</v>
      </c>
      <c r="J20" s="15"/>
      <c r="K20" s="18">
        <f>SUM(K5:K17)</f>
        <v>75.099999999999994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3">_xlfn.UNIQUE(_xlfn._xlws.FILTER(D5:D15,D5:D15&lt;&gt;""))</f>
        <v>02800-PA6-WEISS</v>
      </c>
      <c r="K22" s="28">
        <f t="shared" ref="K22:K29" si="5">SUMIF($D$5:$D$17,D22,$K$5:$K$17)</f>
        <v>43.266881607389308</v>
      </c>
      <c r="M22" s="32">
        <f>SUMIF($D$5:$D$15,D22,$B$5:$B$15)</f>
        <v>61</v>
      </c>
    </row>
    <row r="23" spans="1:13" x14ac:dyDescent="0.35">
      <c r="D23" t="str">
        <v>00940-PA6-WEISS</v>
      </c>
      <c r="K23" s="28">
        <f t="shared" si="5"/>
        <v>1.119880986178768</v>
      </c>
      <c r="M23" s="32">
        <f>SUMIF($D$5:$D$15,D23,$B$5:$B$15)</f>
        <v>1</v>
      </c>
    </row>
    <row r="24" spans="1:13" x14ac:dyDescent="0.35">
      <c r="K24" s="28">
        <f t="shared" si="5"/>
        <v>0</v>
      </c>
      <c r="M24" s="32">
        <f>SUMIF($D$5:$D$15,D24,$B$5:$B$15)</f>
        <v>0</v>
      </c>
    </row>
    <row r="25" spans="1:13" x14ac:dyDescent="0.35">
      <c r="K25" s="28">
        <f t="shared" si="5"/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21</v>
      </c>
      <c r="K30" s="15">
        <f>K16+K17</f>
        <v>30.713237406431922</v>
      </c>
      <c r="M30">
        <v>1</v>
      </c>
    </row>
    <row r="31" spans="1:13" x14ac:dyDescent="0.35">
      <c r="A31" t="s">
        <v>64</v>
      </c>
      <c r="D31" t="s">
        <v>23</v>
      </c>
      <c r="K31">
        <f>SUMIF(D5:D13,D31,K5:K13)</f>
        <v>43.266881607389308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906E0D-C8F9-40A4-856C-A924B1622D41}">
          <x14:formula1>
            <xm:f>#REF!</xm:f>
          </x14:formula1>
          <xm:sqref>D5:D17 D29:D30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B0A4-2DDB-45E9-A51C-2DEE43D737F6}">
  <sheetPr codeName="Sheet11"/>
  <dimension ref="A1:M31"/>
  <sheetViews>
    <sheetView topLeftCell="E18" workbookViewId="0">
      <selection activeCell="K31" sqref="K31"/>
    </sheetView>
  </sheetViews>
  <sheetFormatPr defaultColWidth="11.7265625" defaultRowHeight="14.5" x14ac:dyDescent="0.35"/>
  <cols>
    <col min="1" max="1" width="18.26953125" bestFit="1" customWidth="1"/>
    <col min="4" max="4" width="26.1796875" bestFit="1" customWidth="1"/>
    <col min="5" max="5" width="7.1796875" bestFit="1" customWidth="1"/>
    <col min="8" max="8" width="11" bestFit="1" customWidth="1"/>
    <col min="9" max="9" width="12.26953125" customWidth="1"/>
    <col min="10" max="10" width="7.81640625" customWidth="1"/>
    <col min="11" max="11" width="13.453125" customWidth="1"/>
  </cols>
  <sheetData>
    <row r="1" spans="1:13" x14ac:dyDescent="0.35">
      <c r="A1" t="s">
        <v>33</v>
      </c>
      <c r="B1" t="s">
        <v>34</v>
      </c>
      <c r="C1" s="11"/>
      <c r="D1" s="1" t="str" cm="1">
        <f t="array" aca="1" ref="D1" ca="1">_xlfn.TEXTAFTER(CELL("filename",A1),"]")</f>
        <v>6704043-000-00</v>
      </c>
      <c r="E1" s="2"/>
      <c r="F1" s="3"/>
      <c r="G1" s="8"/>
      <c r="M1" s="31" t="s">
        <v>36</v>
      </c>
    </row>
    <row r="2" spans="1:13" x14ac:dyDescent="0.35">
      <c r="A2" t="s">
        <v>37</v>
      </c>
      <c r="C2" s="6"/>
      <c r="D2" s="4">
        <v>46.5</v>
      </c>
      <c r="G2" s="8"/>
      <c r="K2" s="21" t="s">
        <v>38</v>
      </c>
    </row>
    <row r="3" spans="1:13" x14ac:dyDescent="0.35">
      <c r="A3" t="s">
        <v>39</v>
      </c>
      <c r="D3" s="4">
        <v>760</v>
      </c>
      <c r="G3" s="5" t="s">
        <v>40</v>
      </c>
      <c r="K3" s="20">
        <v>74.8</v>
      </c>
    </row>
    <row r="4" spans="1:13" x14ac:dyDescent="0.35">
      <c r="A4" s="10"/>
      <c r="B4" s="10" t="s">
        <v>41</v>
      </c>
      <c r="C4" s="10" t="s">
        <v>42</v>
      </c>
      <c r="D4" s="10" t="s">
        <v>43</v>
      </c>
      <c r="E4" s="10" t="s">
        <v>44</v>
      </c>
      <c r="F4" s="10" t="s">
        <v>45</v>
      </c>
      <c r="G4" s="5" t="s">
        <v>46</v>
      </c>
      <c r="H4" s="6" t="s">
        <v>47</v>
      </c>
      <c r="I4" s="6" t="s">
        <v>48</v>
      </c>
      <c r="J4" s="6" t="s">
        <v>49</v>
      </c>
      <c r="K4" s="6" t="s">
        <v>50</v>
      </c>
    </row>
    <row r="5" spans="1:13" x14ac:dyDescent="0.35">
      <c r="A5" t="s">
        <v>51</v>
      </c>
      <c r="B5" s="7">
        <v>156</v>
      </c>
      <c r="C5" s="7">
        <f t="shared" ref="C5:C17" si="0">IFERROR(VALUE(LEFT(D5,5)),)</f>
        <v>3300</v>
      </c>
      <c r="D5" s="7" t="s">
        <v>24</v>
      </c>
      <c r="E5" s="7">
        <v>1</v>
      </c>
      <c r="F5" s="14">
        <v>0.05</v>
      </c>
      <c r="G5" s="8" t="e">
        <f ca="1">(B5*C5*E5* (1+F5))/10000*(1+$F$18)*(1+$F$19)</f>
        <v>#REF!</v>
      </c>
      <c r="H5" s="7">
        <v>106.6</v>
      </c>
      <c r="I5">
        <f>H5/100*C5/11000*B5</f>
        <v>49.888799999999989</v>
      </c>
      <c r="J5" s="19">
        <f t="shared" ref="J5:J17" si="1">IFERROR(I5/$I$20,)</f>
        <v>0.75458695995783043</v>
      </c>
      <c r="K5" s="15">
        <f>J5*$K$3*(1+$F$18)</f>
        <v>56.443104604845715</v>
      </c>
    </row>
    <row r="6" spans="1:13" x14ac:dyDescent="0.35">
      <c r="A6" t="s">
        <v>52</v>
      </c>
      <c r="B6" s="7"/>
      <c r="C6" s="7">
        <f t="shared" si="0"/>
        <v>0</v>
      </c>
      <c r="D6" s="7"/>
      <c r="E6" s="7"/>
      <c r="F6" s="14"/>
      <c r="G6" s="8" t="e">
        <f t="shared" ref="G6:G14" ca="1" si="2">(B6*C6*E6* (1+F6))/10000*(1+$F$18)*(1+$F$19)</f>
        <v>#REF!</v>
      </c>
      <c r="H6" s="7"/>
      <c r="I6">
        <f t="shared" ref="I6:I15" si="3">H6/100*C6/11000*B6</f>
        <v>0</v>
      </c>
      <c r="J6" s="19">
        <f t="shared" si="1"/>
        <v>0</v>
      </c>
      <c r="K6" s="15">
        <f t="shared" ref="K6:K17" si="4">J6*$K$3*(1+$F$18)</f>
        <v>0</v>
      </c>
    </row>
    <row r="7" spans="1:13" x14ac:dyDescent="0.35">
      <c r="A7" t="s">
        <v>53</v>
      </c>
      <c r="B7" s="7">
        <v>13</v>
      </c>
      <c r="C7" s="7">
        <f t="shared" si="0"/>
        <v>3300</v>
      </c>
      <c r="D7" s="7" t="s">
        <v>24</v>
      </c>
      <c r="E7" s="7">
        <v>1</v>
      </c>
      <c r="F7" s="14">
        <v>0.05</v>
      </c>
      <c r="G7" s="8" t="e">
        <f t="shared" ca="1" si="2"/>
        <v>#REF!</v>
      </c>
      <c r="H7" s="7">
        <v>106.6</v>
      </c>
      <c r="I7">
        <f t="shared" si="3"/>
        <v>4.1573999999999991</v>
      </c>
      <c r="J7" s="19">
        <f t="shared" si="1"/>
        <v>6.2882246663152536E-2</v>
      </c>
      <c r="K7" s="15">
        <f t="shared" si="4"/>
        <v>4.7035920504038096</v>
      </c>
    </row>
    <row r="8" spans="1:13" x14ac:dyDescent="0.35">
      <c r="A8" t="s">
        <v>54</v>
      </c>
      <c r="B8" s="7">
        <v>40</v>
      </c>
      <c r="C8" s="7">
        <f t="shared" si="0"/>
        <v>1100</v>
      </c>
      <c r="D8" s="7" t="s">
        <v>16</v>
      </c>
      <c r="E8" s="7">
        <v>1</v>
      </c>
      <c r="F8" s="14">
        <v>0.20499999999999999</v>
      </c>
      <c r="G8" s="8" t="e">
        <f t="shared" ca="1" si="2"/>
        <v>#REF!</v>
      </c>
      <c r="H8" s="7">
        <v>109.6</v>
      </c>
      <c r="I8">
        <f t="shared" si="3"/>
        <v>4.3839999999999995</v>
      </c>
      <c r="J8" s="19">
        <f t="shared" si="1"/>
        <v>6.6309657326997812E-2</v>
      </c>
      <c r="K8" s="15">
        <f t="shared" si="4"/>
        <v>4.9599623680594362</v>
      </c>
    </row>
    <row r="9" spans="1:13" x14ac:dyDescent="0.35">
      <c r="A9" t="s">
        <v>55</v>
      </c>
      <c r="B9" s="7"/>
      <c r="C9" s="7">
        <f t="shared" si="0"/>
        <v>0</v>
      </c>
      <c r="D9" s="7"/>
      <c r="E9" s="7"/>
      <c r="F9" s="14"/>
      <c r="G9" s="8" t="e">
        <f t="shared" ca="1" si="2"/>
        <v>#REF!</v>
      </c>
      <c r="H9" s="7"/>
      <c r="I9">
        <f t="shared" si="3"/>
        <v>0</v>
      </c>
      <c r="J9" s="19">
        <f t="shared" si="1"/>
        <v>0</v>
      </c>
      <c r="K9" s="15">
        <f t="shared" si="4"/>
        <v>0</v>
      </c>
    </row>
    <row r="10" spans="1:13" x14ac:dyDescent="0.35">
      <c r="A10" t="s">
        <v>56</v>
      </c>
      <c r="B10" s="7"/>
      <c r="C10" s="7">
        <f t="shared" si="0"/>
        <v>0</v>
      </c>
      <c r="D10" s="7"/>
      <c r="E10" s="7"/>
      <c r="F10" s="14"/>
      <c r="G10" s="8" t="e">
        <f t="shared" ca="1" si="2"/>
        <v>#REF!</v>
      </c>
      <c r="H10" s="7"/>
      <c r="I10">
        <f t="shared" si="3"/>
        <v>0</v>
      </c>
      <c r="J10" s="19">
        <f t="shared" si="1"/>
        <v>0</v>
      </c>
      <c r="K10" s="15">
        <f t="shared" si="4"/>
        <v>0</v>
      </c>
    </row>
    <row r="11" spans="1:13" x14ac:dyDescent="0.35">
      <c r="A11" t="s">
        <v>56</v>
      </c>
      <c r="B11" s="7"/>
      <c r="C11" s="7">
        <f t="shared" si="0"/>
        <v>0</v>
      </c>
      <c r="D11" s="7"/>
      <c r="E11" s="7"/>
      <c r="F11" s="14"/>
      <c r="G11" s="8" t="e">
        <f t="shared" ca="1" si="2"/>
        <v>#REF!</v>
      </c>
      <c r="H11" s="7"/>
      <c r="I11">
        <f t="shared" si="3"/>
        <v>0</v>
      </c>
      <c r="J11" s="19">
        <f t="shared" si="1"/>
        <v>0</v>
      </c>
      <c r="K11" s="15">
        <f t="shared" si="4"/>
        <v>0</v>
      </c>
    </row>
    <row r="12" spans="1:13" x14ac:dyDescent="0.35">
      <c r="A12" t="s">
        <v>56</v>
      </c>
      <c r="B12" s="7"/>
      <c r="C12" s="7">
        <f t="shared" si="0"/>
        <v>0</v>
      </c>
      <c r="D12" s="7"/>
      <c r="E12" s="7"/>
      <c r="F12" s="14"/>
      <c r="G12" s="8" t="e">
        <f t="shared" ca="1" si="2"/>
        <v>#REF!</v>
      </c>
      <c r="H12" s="7"/>
      <c r="I12">
        <f t="shared" si="3"/>
        <v>0</v>
      </c>
      <c r="J12" s="19">
        <f t="shared" si="1"/>
        <v>0</v>
      </c>
      <c r="K12" s="15">
        <f t="shared" si="4"/>
        <v>0</v>
      </c>
    </row>
    <row r="13" spans="1:13" x14ac:dyDescent="0.35">
      <c r="A13" t="s">
        <v>56</v>
      </c>
      <c r="B13" s="7"/>
      <c r="C13" s="7">
        <f t="shared" si="0"/>
        <v>0</v>
      </c>
      <c r="D13" s="7"/>
      <c r="E13" s="7"/>
      <c r="F13" s="14"/>
      <c r="G13" s="8" t="e">
        <f t="shared" ca="1" si="2"/>
        <v>#REF!</v>
      </c>
      <c r="H13" s="7"/>
      <c r="I13">
        <f t="shared" si="3"/>
        <v>0</v>
      </c>
      <c r="J13" s="19">
        <f t="shared" si="1"/>
        <v>0</v>
      </c>
      <c r="K13" s="15">
        <f t="shared" si="4"/>
        <v>0</v>
      </c>
    </row>
    <row r="14" spans="1:13" x14ac:dyDescent="0.35">
      <c r="A14" t="s">
        <v>57</v>
      </c>
      <c r="B14" s="7"/>
      <c r="C14" s="7">
        <f t="shared" si="0"/>
        <v>0</v>
      </c>
      <c r="D14" s="7"/>
      <c r="E14" s="7"/>
      <c r="F14" s="14"/>
      <c r="G14" s="8" t="e">
        <f t="shared" ca="1" si="2"/>
        <v>#REF!</v>
      </c>
      <c r="H14" s="7"/>
      <c r="I14">
        <f t="shared" si="3"/>
        <v>0</v>
      </c>
      <c r="J14" s="19">
        <f t="shared" si="1"/>
        <v>0</v>
      </c>
      <c r="K14" s="15">
        <f t="shared" si="4"/>
        <v>0</v>
      </c>
    </row>
    <row r="15" spans="1:13" x14ac:dyDescent="0.35">
      <c r="A15" t="s">
        <v>58</v>
      </c>
      <c r="B15" s="7">
        <v>1</v>
      </c>
      <c r="C15" s="7">
        <f t="shared" si="0"/>
        <v>550</v>
      </c>
      <c r="D15" s="7" t="s">
        <v>3</v>
      </c>
      <c r="E15" s="7">
        <v>1</v>
      </c>
      <c r="F15" s="14"/>
      <c r="G15" s="8" t="e">
        <f ca="1">B15*C15*E15*(1+F15)/10000*(1+$F$18)*(1+$F$19)</f>
        <v>#REF!</v>
      </c>
      <c r="H15" s="7">
        <v>440.5</v>
      </c>
      <c r="I15">
        <f t="shared" si="3"/>
        <v>0.22025</v>
      </c>
      <c r="J15" s="19">
        <f t="shared" si="1"/>
        <v>3.3313645132918043E-3</v>
      </c>
      <c r="K15" s="15">
        <f t="shared" si="4"/>
        <v>0.24918606559422696</v>
      </c>
    </row>
    <row r="16" spans="1:13" x14ac:dyDescent="0.35">
      <c r="A16" t="s">
        <v>59</v>
      </c>
      <c r="B16" s="7">
        <v>2</v>
      </c>
      <c r="C16" s="7">
        <f t="shared" si="0"/>
        <v>1100</v>
      </c>
      <c r="D16" s="12" t="s">
        <v>16</v>
      </c>
      <c r="E16" s="7">
        <v>1</v>
      </c>
      <c r="F16" s="14"/>
      <c r="G16" s="8" t="e">
        <f ca="1">(C16*E16*B16*$D$2/1000*$D$3)/10000*(1+$F$18)*(1+$F$19)</f>
        <v>#REF!</v>
      </c>
      <c r="H16" s="7">
        <v>7463.6</v>
      </c>
      <c r="I16">
        <f>H16/100*C16/11000*B16/2</f>
        <v>7.4636000000000005</v>
      </c>
      <c r="J16" s="19">
        <f t="shared" si="1"/>
        <v>0.11288977153872742</v>
      </c>
      <c r="K16" s="15">
        <f t="shared" si="4"/>
        <v>8.4441549110968115</v>
      </c>
    </row>
    <row r="17" spans="1:13" x14ac:dyDescent="0.35">
      <c r="A17" t="s">
        <v>60</v>
      </c>
      <c r="B17" s="7"/>
      <c r="C17" s="7">
        <f t="shared" si="0"/>
        <v>0</v>
      </c>
      <c r="D17" s="7"/>
      <c r="E17" s="7"/>
      <c r="F17" s="14"/>
      <c r="G17" s="8">
        <v>0</v>
      </c>
      <c r="H17" s="7"/>
      <c r="I17">
        <f>H17/100*C17/11000*B17/2</f>
        <v>0</v>
      </c>
      <c r="J17" s="19">
        <f t="shared" si="1"/>
        <v>0</v>
      </c>
      <c r="K17" s="15">
        <f t="shared" si="4"/>
        <v>0</v>
      </c>
    </row>
    <row r="18" spans="1:13" x14ac:dyDescent="0.35">
      <c r="B18">
        <f>SUM(B5:B17)-1</f>
        <v>211</v>
      </c>
      <c r="D18" s="16" t="s">
        <v>31</v>
      </c>
      <c r="F18" s="14">
        <v>0</v>
      </c>
      <c r="G18" s="8"/>
      <c r="I18" s="15"/>
      <c r="J18" s="15"/>
    </row>
    <row r="19" spans="1:13" x14ac:dyDescent="0.35">
      <c r="B19" s="17"/>
      <c r="C19" s="13"/>
      <c r="D19" s="16" t="s">
        <v>32</v>
      </c>
      <c r="F19" s="14" t="e">
        <f ca="1">_xlfn.XLOOKUP(D1,#REF!,#REF!,0,0)</f>
        <v>#REF!</v>
      </c>
      <c r="G19" s="8"/>
      <c r="I19" s="15"/>
      <c r="J19" s="15"/>
    </row>
    <row r="20" spans="1:13" x14ac:dyDescent="0.35">
      <c r="D20" s="16" t="s">
        <v>61</v>
      </c>
      <c r="G20" s="18" t="e">
        <f ca="1">SUM(G5:G17)</f>
        <v>#REF!</v>
      </c>
      <c r="I20" s="18">
        <f>SUM(I5:I17)</f>
        <v>66.114049999999992</v>
      </c>
      <c r="J20" s="15"/>
      <c r="K20" s="18">
        <f>SUM(K5:K17)</f>
        <v>74.800000000000011</v>
      </c>
    </row>
    <row r="21" spans="1:13" x14ac:dyDescent="0.35">
      <c r="G21" s="9"/>
      <c r="M21" t="s">
        <v>74</v>
      </c>
    </row>
    <row r="22" spans="1:13" x14ac:dyDescent="0.35">
      <c r="A22" t="s">
        <v>66</v>
      </c>
      <c r="D22" t="str" cm="1">
        <f t="array" ref="D22:D24">_xlfn.UNIQUE(_xlfn._xlws.FILTER(D5:D15,D5:D15&lt;&gt;""))</f>
        <v>03300-PES-WEISS</v>
      </c>
      <c r="K22" s="28">
        <f t="shared" ref="K22:K29" si="5">SUMIF($D$5:$D$17,D22,$K$5:$K$17)</f>
        <v>61.146696655249528</v>
      </c>
      <c r="M22" s="32">
        <f>SUMIF($D$5:$D$15,D22,$B$5:$B$15)</f>
        <v>169</v>
      </c>
    </row>
    <row r="23" spans="1:13" x14ac:dyDescent="0.35">
      <c r="D23" t="str">
        <v>01100-PES-WEISS</v>
      </c>
      <c r="K23" s="28">
        <f t="shared" si="5"/>
        <v>13.404117279156248</v>
      </c>
      <c r="M23" s="32">
        <f>SUMIF($D$5:$D$15,D23,$B$5:$B$15)</f>
        <v>40</v>
      </c>
    </row>
    <row r="24" spans="1:13" x14ac:dyDescent="0.35">
      <c r="D24" t="str">
        <v>00550-PES-WEISS</v>
      </c>
      <c r="K24" s="28">
        <f t="shared" si="5"/>
        <v>0.24918606559422696</v>
      </c>
      <c r="M24" s="32">
        <f>SUMIF($D$5:$D$15,D24,$B$5:$B$15)</f>
        <v>1</v>
      </c>
    </row>
    <row r="25" spans="1:13" x14ac:dyDescent="0.35">
      <c r="K25" s="28">
        <f t="shared" si="5"/>
        <v>0</v>
      </c>
      <c r="M25" s="32">
        <f>SUMIF($D$5:$D$15,D25,$B$5:$B$15)</f>
        <v>0</v>
      </c>
    </row>
    <row r="26" spans="1:13" x14ac:dyDescent="0.35">
      <c r="K26" s="28">
        <f t="shared" si="5"/>
        <v>0</v>
      </c>
    </row>
    <row r="27" spans="1:13" x14ac:dyDescent="0.35">
      <c r="K27" s="28">
        <f t="shared" si="5"/>
        <v>0</v>
      </c>
    </row>
    <row r="28" spans="1:13" x14ac:dyDescent="0.35">
      <c r="K28" s="28">
        <f t="shared" si="5"/>
        <v>0</v>
      </c>
    </row>
    <row r="29" spans="1:13" x14ac:dyDescent="0.35">
      <c r="K29" s="28">
        <f t="shared" si="5"/>
        <v>0</v>
      </c>
    </row>
    <row r="30" spans="1:13" x14ac:dyDescent="0.35">
      <c r="A30" t="s">
        <v>63</v>
      </c>
      <c r="D30" t="s">
        <v>16</v>
      </c>
      <c r="K30" s="15">
        <f>K16+K17</f>
        <v>8.4441549110968115</v>
      </c>
      <c r="M30">
        <v>1</v>
      </c>
    </row>
    <row r="31" spans="1:13" x14ac:dyDescent="0.35">
      <c r="A31" t="s">
        <v>64</v>
      </c>
      <c r="D31" t="s">
        <v>24</v>
      </c>
      <c r="K31">
        <f>SUMIF(D5:D13,D31,K5:K13)</f>
        <v>61.146696655249528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07186E-2E97-4D14-AB36-60990433318D}">
          <x14:formula1>
            <xm:f>#REF!</xm:f>
          </x14:formula1>
          <xm:sqref>D5:D17 D29:D30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0DA0357A213BA45B4B29A9B29CD9ED2" ma:contentTypeVersion="6" ma:contentTypeDescription="Ein neues Dokument erstellen." ma:contentTypeScope="" ma:versionID="b2f82b242210f435d8730d505d8f4c6e">
  <xsd:schema xmlns:xsd="http://www.w3.org/2001/XMLSchema" xmlns:xs="http://www.w3.org/2001/XMLSchema" xmlns:p="http://schemas.microsoft.com/office/2006/metadata/properties" xmlns:ns2="d669b586-e846-4cda-a2e6-335061a507d4" xmlns:ns3="71c35f43-ecf8-4d63-a6f5-5834cb814bd1" targetNamespace="http://schemas.microsoft.com/office/2006/metadata/properties" ma:root="true" ma:fieldsID="921564d097b645503bf9a4150f584856" ns2:_="" ns3:_="">
    <xsd:import namespace="d669b586-e846-4cda-a2e6-335061a507d4"/>
    <xsd:import namespace="71c35f43-ecf8-4d63-a6f5-5834cb814b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69b586-e846-4cda-a2e6-335061a507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c35f43-ecf8-4d63-a6f5-5834cb814bd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31F72B-E472-4752-B981-FC5FBD296A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69b586-e846-4cda-a2e6-335061a507d4"/>
    <ds:schemaRef ds:uri="71c35f43-ecf8-4d63-a6f5-5834cb814b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983BE40-8A89-4FB3-99A8-0A637D8793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C27FDE2-6C72-40D8-BB8F-C38A3B111DE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7433081-042-00</vt:lpstr>
      <vt:lpstr>7527059-042-00</vt:lpstr>
      <vt:lpstr>7317068-000-01</vt:lpstr>
      <vt:lpstr>7317068-000-00</vt:lpstr>
      <vt:lpstr>6983039-000-00</vt:lpstr>
      <vt:lpstr>6741048-000-00</vt:lpstr>
      <vt:lpstr>6789027-048-00</vt:lpstr>
      <vt:lpstr>6789051-048-00</vt:lpstr>
      <vt:lpstr>6789076-048-00</vt:lpstr>
      <vt:lpstr>6789102-048-00</vt:lpstr>
      <vt:lpstr>6675027-048-00</vt:lpstr>
      <vt:lpstr>6675051-048-00</vt:lpstr>
      <vt:lpstr>6675076-048-00</vt:lpstr>
      <vt:lpstr>6675102-048-00</vt:lpstr>
      <vt:lpstr>6622051-094-00</vt:lpstr>
      <vt:lpstr>6622076-094-00</vt:lpstr>
      <vt:lpstr>6622102-094-00</vt:lpstr>
      <vt:lpstr>6624051-093-00</vt:lpstr>
      <vt:lpstr>6624102-093-00</vt:lpstr>
      <vt:lpstr>7494038-000-00</vt:lpstr>
      <vt:lpstr>7494044-000-00</vt:lpstr>
      <vt:lpstr>7494057-000-00</vt:lpstr>
      <vt:lpstr>7494068-000-00</vt:lpstr>
      <vt:lpstr>7494089-000-00</vt:lpstr>
      <vt:lpstr>7505051-095-00</vt:lpstr>
      <vt:lpstr>6153050-025-00</vt:lpstr>
      <vt:lpstr>7694050-000-00</vt:lpstr>
      <vt:lpstr>6623051-095-00</vt:lpstr>
      <vt:lpstr>6869027-000-00</vt:lpstr>
      <vt:lpstr>6869038-000-00</vt:lpstr>
      <vt:lpstr>6869051-000-00</vt:lpstr>
      <vt:lpstr>6869076-000-00</vt:lpstr>
      <vt:lpstr>6869102-000-00</vt:lpstr>
      <vt:lpstr>6777025-000-00</vt:lpstr>
      <vt:lpstr>6077025-000-01</vt:lpstr>
      <vt:lpstr>7588025-000-00</vt:lpstr>
      <vt:lpstr>6639025-000-00</vt:lpstr>
      <vt:lpstr>7690025-000-00</vt:lpstr>
      <vt:lpstr>7693026-000-00</vt:lpstr>
      <vt:lpstr>7560025-000-00</vt:lpstr>
      <vt:lpstr>7561025-000-00</vt:lpstr>
      <vt:lpstr>7561025-000-01</vt:lpstr>
      <vt:lpstr>7617025-000-00</vt:lpstr>
      <vt:lpstr>7620050-000-00</vt:lpstr>
      <vt:lpstr>7626025-000-00</vt:lpstr>
      <vt:lpstr>7632025-000-00</vt:lpstr>
      <vt:lpstr>7633025-042-00</vt:lpstr>
      <vt:lpstr>7634038-000-00</vt:lpstr>
      <vt:lpstr>7695038-000-00</vt:lpstr>
      <vt:lpstr>6568025-000-01</vt:lpstr>
      <vt:lpstr>5999089-000-00</vt:lpstr>
      <vt:lpstr>5999102-000-00</vt:lpstr>
      <vt:lpstr>5999051-000-00</vt:lpstr>
      <vt:lpstr>6704043-000-00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Hung Nguyen</dc:creator>
  <cp:keywords/>
  <dc:description/>
  <cp:lastModifiedBy>Nhan Thanh Pham | Oppermann Group</cp:lastModifiedBy>
  <cp:revision/>
  <dcterms:created xsi:type="dcterms:W3CDTF">2015-06-05T18:19:34Z</dcterms:created>
  <dcterms:modified xsi:type="dcterms:W3CDTF">2026-01-24T13:36:46Z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0x010100F0DA0357A213BA45B4B29A9B29CD9ED2</vt:lpwstr>
  </property>
</Properties>
</file>